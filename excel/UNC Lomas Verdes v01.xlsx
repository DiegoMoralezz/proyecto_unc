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proyecto_unc\excel\"/>
    </mc:Choice>
  </mc:AlternateContent>
  <xr:revisionPtr revIDLastSave="0" documentId="13_ncr:1_{D770E20A-DA4C-4563-8389-E96B7D42481D}" xr6:coauthVersionLast="47" xr6:coauthVersionMax="47" xr10:uidLastSave="{00000000-0000-0000-0000-000000000000}"/>
  <bookViews>
    <workbookView xWindow="-120" yWindow="-120" windowWidth="20730" windowHeight="11760" tabRatio="825" firstSheet="4" activeTab="7" xr2:uid="{B7D14530-200C-4EE3-9800-687A6A917E5B}"/>
  </bookViews>
  <sheets>
    <sheet name="Datos" sheetId="6" r:id="rId1"/>
    <sheet name="Catálogo" sheetId="1" r:id="rId2"/>
    <sheet name="BalanzaActual" sheetId="3" r:id="rId3"/>
    <sheet name="BalanzaAnterior" sheetId="5" r:id="rId4"/>
    <sheet name="Validación" sheetId="2" r:id="rId5"/>
    <sheet name="Portada" sheetId="20" r:id="rId6"/>
    <sheet name="Contenido" sheetId="21" r:id="rId7"/>
    <sheet name="Dictamen 1" sheetId="22" r:id="rId8"/>
    <sheet name="Dictamen 2" sheetId="23" r:id="rId9"/>
    <sheet name="BG" sheetId="9" r:id="rId10"/>
    <sheet name="ER" sheetId="7" r:id="rId11"/>
    <sheet name="ECC" sheetId="10" r:id="rId12"/>
    <sheet name="CF" sheetId="11" r:id="rId13"/>
    <sheet name="Nota 1 y 2" sheetId="24" r:id="rId14"/>
    <sheet name="Nota 1 tablas" sheetId="28" r:id="rId15"/>
    <sheet name="Nota 3" sheetId="29" r:id="rId16"/>
    <sheet name="N4 Efectivo" sheetId="12" r:id="rId17"/>
    <sheet name="Nota 5 Txt" sheetId="30" r:id="rId18"/>
    <sheet name="N5 Inventarios Inm(Tablas)" sheetId="13" r:id="rId19"/>
    <sheet name="N6 Proveedores" sheetId="37" r:id="rId20"/>
    <sheet name="N7 Depósitos en garantía" sheetId="36" r:id="rId21"/>
    <sheet name="N8 Préstamos" sheetId="15" r:id="rId22"/>
    <sheet name="N9 Otras Aportaciones Fid" sheetId="16" r:id="rId23"/>
    <sheet name="Nota 10 Impuestos" sheetId="33" r:id="rId24"/>
    <sheet name="N11 Patrimonio" sheetId="17" r:id="rId25"/>
    <sheet name="N12 Vencimientos" sheetId="18" r:id="rId26"/>
    <sheet name="N13 Partes relacionadas" sheetId="19" r:id="rId27"/>
    <sheet name="Nota de la 14 en adelante" sheetId="35" r:id="rId28"/>
  </sheets>
  <definedNames>
    <definedName name="_xlnm._FilterDatabase" localSheetId="2" hidden="1">BalanzaActual!$AG$1:$AI$556</definedName>
    <definedName name="_xlnm._FilterDatabase" localSheetId="1" hidden="1">Catálogo!$A$1:$D$173</definedName>
    <definedName name="_xlnm._FilterDatabase" localSheetId="0" hidden="1">Datos!#REF!</definedName>
    <definedName name="_xlnm._FilterDatabase" localSheetId="4" hidden="1">'N4 Efectivo'!$E$10:$I$12</definedName>
    <definedName name="_Hlk161219787" localSheetId="15">'Nota 3'!$B$34</definedName>
    <definedName name="_Hlk161831706" localSheetId="15">'Nota 3'!$B$58</definedName>
    <definedName name="_Hlk161832494" localSheetId="17">'Nota 5 Txt'!$B$224</definedName>
    <definedName name="_Hlk161986056" localSheetId="7">'Dictamen 1'!$B$23</definedName>
    <definedName name="_Hlk161986056" localSheetId="8">'Dictamen 2'!#REF!</definedName>
    <definedName name="_Hlk161987517" localSheetId="15">'Nota 3'!$B$33</definedName>
    <definedName name="_Hlk161988619" localSheetId="15">'Nota 3'!$B$57</definedName>
    <definedName name="_TOC_250001" localSheetId="0">Datos!#REF!</definedName>
    <definedName name="_TOC_250001" localSheetId="4">CF!$B$10</definedName>
    <definedName name="OLE_LINK1" localSheetId="0">Datos!#REF!</definedName>
    <definedName name="OLE_LINK1" localSheetId="4">BG!$B$12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2" l="1"/>
  <c r="B16" i="22"/>
  <c r="B17" i="35"/>
  <c r="H11" i="36"/>
  <c r="H13" i="36" s="1"/>
  <c r="F11" i="36"/>
  <c r="G14" i="13"/>
  <c r="D25" i="13"/>
  <c r="F25" i="13"/>
  <c r="G71" i="1"/>
  <c r="F13" i="36"/>
  <c r="F19" i="18"/>
  <c r="H28" i="18"/>
  <c r="F28" i="18"/>
  <c r="B26" i="11"/>
  <c r="D31" i="11"/>
  <c r="B31" i="11"/>
  <c r="F18" i="18"/>
  <c r="O41" i="37"/>
  <c r="O42" i="37"/>
  <c r="O43" i="37"/>
  <c r="O44" i="37"/>
  <c r="I23" i="19"/>
  <c r="I25" i="19"/>
  <c r="I24" i="19"/>
  <c r="G23" i="19"/>
  <c r="G22" i="19"/>
  <c r="G26" i="19" s="1"/>
  <c r="E30" i="9" s="1"/>
  <c r="G17" i="19"/>
  <c r="E16" i="9" s="1"/>
  <c r="I16" i="19"/>
  <c r="I15" i="19"/>
  <c r="I14" i="19"/>
  <c r="G16" i="19"/>
  <c r="G15" i="19"/>
  <c r="G14" i="19"/>
  <c r="I19" i="19"/>
  <c r="I11" i="19"/>
  <c r="G19" i="19"/>
  <c r="G11" i="19"/>
  <c r="P31" i="37"/>
  <c r="I13" i="37"/>
  <c r="G12" i="37"/>
  <c r="P41" i="37"/>
  <c r="P40" i="37"/>
  <c r="P39" i="37"/>
  <c r="P38" i="37"/>
  <c r="P37" i="37"/>
  <c r="P36" i="37"/>
  <c r="P35" i="37"/>
  <c r="P34" i="37"/>
  <c r="P33" i="37"/>
  <c r="P32" i="37"/>
  <c r="P30" i="37"/>
  <c r="P29" i="37"/>
  <c r="P28" i="37"/>
  <c r="P27" i="37"/>
  <c r="P26" i="37"/>
  <c r="P25" i="37"/>
  <c r="P24" i="37"/>
  <c r="P23" i="37"/>
  <c r="P22" i="37"/>
  <c r="P21" i="37"/>
  <c r="P20" i="37"/>
  <c r="P19" i="37"/>
  <c r="P18" i="37"/>
  <c r="P17" i="37"/>
  <c r="I10" i="37" s="1"/>
  <c r="P16" i="37"/>
  <c r="P15" i="37"/>
  <c r="P14" i="37"/>
  <c r="I11" i="37" s="1"/>
  <c r="P13" i="37"/>
  <c r="P12" i="37"/>
  <c r="P11" i="37"/>
  <c r="P10" i="37"/>
  <c r="I12" i="37" s="1"/>
  <c r="P9" i="37"/>
  <c r="O40" i="37"/>
  <c r="O39" i="37"/>
  <c r="O38" i="37"/>
  <c r="O37" i="37"/>
  <c r="O36" i="37"/>
  <c r="O35" i="37"/>
  <c r="O34" i="37"/>
  <c r="O33" i="37"/>
  <c r="O32" i="37"/>
  <c r="O31" i="37"/>
  <c r="O30" i="37"/>
  <c r="O29" i="37"/>
  <c r="O28" i="37"/>
  <c r="O27" i="37"/>
  <c r="O26" i="37"/>
  <c r="O25" i="37"/>
  <c r="O24" i="37"/>
  <c r="O23" i="37"/>
  <c r="O22" i="37"/>
  <c r="O21" i="37"/>
  <c r="O20" i="37"/>
  <c r="O19" i="37"/>
  <c r="O18" i="37"/>
  <c r="G13" i="37" s="1"/>
  <c r="O17" i="37"/>
  <c r="G10" i="37" s="1"/>
  <c r="O16" i="37"/>
  <c r="O15" i="37"/>
  <c r="O14" i="37"/>
  <c r="G11" i="37" s="1"/>
  <c r="O13" i="37"/>
  <c r="O12" i="37"/>
  <c r="O11" i="37"/>
  <c r="O10" i="37"/>
  <c r="O9" i="37"/>
  <c r="R16" i="19"/>
  <c r="R26" i="19"/>
  <c r="P25" i="19"/>
  <c r="R25" i="19" s="1"/>
  <c r="P24" i="19"/>
  <c r="R24" i="19" s="1"/>
  <c r="P23" i="19"/>
  <c r="R23" i="19" s="1"/>
  <c r="P22" i="19"/>
  <c r="R22" i="19" s="1"/>
  <c r="P21" i="19"/>
  <c r="R21" i="19" s="1"/>
  <c r="P20" i="19"/>
  <c r="R20" i="19" s="1"/>
  <c r="P17" i="19"/>
  <c r="R17" i="19" s="1"/>
  <c r="P16" i="19"/>
  <c r="P15" i="19"/>
  <c r="R15" i="19" s="1"/>
  <c r="P89" i="19"/>
  <c r="P88" i="19"/>
  <c r="P87" i="19"/>
  <c r="P86" i="19"/>
  <c r="P85" i="19"/>
  <c r="P84" i="19"/>
  <c r="P83" i="19"/>
  <c r="P82" i="19"/>
  <c r="P62" i="19"/>
  <c r="P61" i="19"/>
  <c r="P60" i="19"/>
  <c r="P59" i="19"/>
  <c r="P58" i="19"/>
  <c r="P57" i="19"/>
  <c r="P56" i="19"/>
  <c r="P55" i="19"/>
  <c r="P54" i="19"/>
  <c r="P53" i="19"/>
  <c r="P52" i="19"/>
  <c r="P51" i="19"/>
  <c r="P50" i="19"/>
  <c r="P49" i="19"/>
  <c r="P48" i="19"/>
  <c r="P47" i="19"/>
  <c r="P46" i="19"/>
  <c r="P45" i="19"/>
  <c r="P41" i="19"/>
  <c r="P40" i="19"/>
  <c r="P39" i="19"/>
  <c r="P38" i="19"/>
  <c r="P37" i="19"/>
  <c r="P36" i="19"/>
  <c r="P31" i="19"/>
  <c r="P35" i="19"/>
  <c r="P34" i="19"/>
  <c r="P33" i="19"/>
  <c r="P32" i="19"/>
  <c r="P30" i="19"/>
  <c r="P29" i="19"/>
  <c r="I8" i="37"/>
  <c r="G8" i="37"/>
  <c r="I26" i="19" l="1"/>
  <c r="I17" i="19"/>
  <c r="G14" i="37"/>
  <c r="B30" i="11"/>
  <c r="B27" i="11"/>
  <c r="G33" i="1"/>
  <c r="G74" i="1"/>
  <c r="G73" i="1"/>
  <c r="G72" i="1"/>
  <c r="G70" i="1"/>
  <c r="G52" i="1"/>
  <c r="G30" i="9" l="1"/>
  <c r="G16" i="9"/>
  <c r="B41" i="24"/>
  <c r="F27" i="18" l="1"/>
  <c r="F23" i="13" l="1"/>
  <c r="F27" i="13" s="1"/>
  <c r="F46" i="11" l="1"/>
  <c r="AG76" i="3"/>
  <c r="AH76" i="3" s="1"/>
  <c r="K76" i="3" s="1"/>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11" i="5"/>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AD72" i="5" l="1"/>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G74" i="3"/>
  <c r="AG75" i="3"/>
  <c r="AG77" i="3"/>
  <c r="AG78" i="3"/>
  <c r="AH78" i="3" s="1"/>
  <c r="K78" i="3" s="1"/>
  <c r="AG79" i="3"/>
  <c r="AH79" i="3" s="1"/>
  <c r="K79" i="3" s="1"/>
  <c r="AG80" i="3"/>
  <c r="AH80" i="3" s="1"/>
  <c r="K80" i="3" s="1"/>
  <c r="AG81" i="3"/>
  <c r="AH81" i="3" s="1"/>
  <c r="K81" i="3" s="1"/>
  <c r="AG82" i="3"/>
  <c r="AH82" i="3" s="1"/>
  <c r="K82" i="3" s="1"/>
  <c r="AG83" i="3"/>
  <c r="AH83" i="3" s="1"/>
  <c r="K83" i="3" s="1"/>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H111" i="3" s="1"/>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H556" i="3" s="1"/>
  <c r="H21" i="10"/>
  <c r="B11" i="6"/>
  <c r="B18" i="10"/>
  <c r="B26" i="10"/>
  <c r="B34" i="10"/>
  <c r="B22" i="35"/>
  <c r="F31" i="18"/>
  <c r="F30" i="18"/>
  <c r="F29" i="18"/>
  <c r="K25" i="18"/>
  <c r="I25" i="18"/>
  <c r="F25" i="18"/>
  <c r="F22" i="18"/>
  <c r="F21" i="18"/>
  <c r="F20" i="18"/>
  <c r="K16" i="18"/>
  <c r="I16" i="18"/>
  <c r="F16" i="18"/>
  <c r="AH252" i="3" l="1"/>
  <c r="K252" i="3" s="1"/>
  <c r="AH244" i="3"/>
  <c r="K244" i="3" s="1"/>
  <c r="AH236" i="3"/>
  <c r="K236" i="3" s="1"/>
  <c r="AH228" i="3"/>
  <c r="K228" i="3" s="1"/>
  <c r="AH220" i="3"/>
  <c r="K220" i="3" s="1"/>
  <c r="AH212" i="3"/>
  <c r="K212" i="3" s="1"/>
  <c r="AH204" i="3"/>
  <c r="K204" i="3" s="1"/>
  <c r="AH196" i="3"/>
  <c r="K196" i="3" s="1"/>
  <c r="AH188" i="3"/>
  <c r="K188" i="3" s="1"/>
  <c r="AH180" i="3"/>
  <c r="K180" i="3" s="1"/>
  <c r="AH172" i="3"/>
  <c r="K172" i="3" s="1"/>
  <c r="AH164" i="3"/>
  <c r="K164" i="3" s="1"/>
  <c r="AH156" i="3"/>
  <c r="K156" i="3" s="1"/>
  <c r="AH148" i="3"/>
  <c r="K148" i="3" s="1"/>
  <c r="AH140" i="3"/>
  <c r="K140" i="3" s="1"/>
  <c r="AH132" i="3"/>
  <c r="K132" i="3" s="1"/>
  <c r="AH124" i="3"/>
  <c r="K124" i="3" s="1"/>
  <c r="AH116" i="3"/>
  <c r="K116" i="3" s="1"/>
  <c r="AH108" i="3"/>
  <c r="K108" i="3" s="1"/>
  <c r="AH100" i="3"/>
  <c r="K100" i="3" s="1"/>
  <c r="AH92" i="3"/>
  <c r="K92" i="3" s="1"/>
  <c r="AH84" i="3"/>
  <c r="K84" i="3" s="1"/>
  <c r="AH251" i="3"/>
  <c r="K251" i="3" s="1"/>
  <c r="AH243" i="3"/>
  <c r="K243" i="3" s="1"/>
  <c r="AH235" i="3"/>
  <c r="K235" i="3" s="1"/>
  <c r="AH227" i="3"/>
  <c r="K227" i="3" s="1"/>
  <c r="AH219" i="3"/>
  <c r="K219" i="3" s="1"/>
  <c r="AH211" i="3"/>
  <c r="K211" i="3" s="1"/>
  <c r="AH203" i="3"/>
  <c r="K203" i="3" s="1"/>
  <c r="AH195" i="3"/>
  <c r="K195" i="3" s="1"/>
  <c r="AH187" i="3"/>
  <c r="K187" i="3" s="1"/>
  <c r="AH179" i="3"/>
  <c r="K179" i="3" s="1"/>
  <c r="AH171" i="3"/>
  <c r="K171" i="3" s="1"/>
  <c r="AH163" i="3"/>
  <c r="K163" i="3" s="1"/>
  <c r="AH155" i="3"/>
  <c r="K155" i="3" s="1"/>
  <c r="AH147" i="3"/>
  <c r="K147" i="3" s="1"/>
  <c r="AH139" i="3"/>
  <c r="K139" i="3" s="1"/>
  <c r="AH131" i="3"/>
  <c r="K131" i="3" s="1"/>
  <c r="AH123" i="3"/>
  <c r="K123" i="3" s="1"/>
  <c r="AH115" i="3"/>
  <c r="K115" i="3" s="1"/>
  <c r="AH107" i="3"/>
  <c r="K107" i="3" s="1"/>
  <c r="AH99" i="3"/>
  <c r="K99" i="3" s="1"/>
  <c r="AH91" i="3"/>
  <c r="K91" i="3" s="1"/>
  <c r="AH250" i="3"/>
  <c r="K250" i="3" s="1"/>
  <c r="AH242" i="3"/>
  <c r="K242" i="3" s="1"/>
  <c r="AH234" i="3"/>
  <c r="K234" i="3" s="1"/>
  <c r="AH226" i="3"/>
  <c r="K226" i="3" s="1"/>
  <c r="AH218" i="3"/>
  <c r="K218" i="3" s="1"/>
  <c r="AH210" i="3"/>
  <c r="K210" i="3" s="1"/>
  <c r="AH202" i="3"/>
  <c r="K202" i="3" s="1"/>
  <c r="AH194" i="3"/>
  <c r="K194" i="3" s="1"/>
  <c r="AH186" i="3"/>
  <c r="K186" i="3" s="1"/>
  <c r="AH178" i="3"/>
  <c r="K178" i="3" s="1"/>
  <c r="AH170" i="3"/>
  <c r="K170" i="3" s="1"/>
  <c r="AH162" i="3"/>
  <c r="K162" i="3" s="1"/>
  <c r="AH154" i="3"/>
  <c r="K154" i="3" s="1"/>
  <c r="AH146" i="3"/>
  <c r="K146" i="3" s="1"/>
  <c r="AH138" i="3"/>
  <c r="K138" i="3" s="1"/>
  <c r="AH130" i="3"/>
  <c r="K130" i="3" s="1"/>
  <c r="AH122" i="3"/>
  <c r="K122" i="3" s="1"/>
  <c r="AH114" i="3"/>
  <c r="K114" i="3" s="1"/>
  <c r="AH106" i="3"/>
  <c r="K106" i="3" s="1"/>
  <c r="AH98" i="3"/>
  <c r="K98" i="3" s="1"/>
  <c r="AH90" i="3"/>
  <c r="K90" i="3" s="1"/>
  <c r="AH249" i="3"/>
  <c r="K249" i="3" s="1"/>
  <c r="AH241" i="3"/>
  <c r="K241" i="3" s="1"/>
  <c r="AH233" i="3"/>
  <c r="K233" i="3" s="1"/>
  <c r="AH225" i="3"/>
  <c r="K225" i="3" s="1"/>
  <c r="AH217" i="3"/>
  <c r="K217" i="3" s="1"/>
  <c r="AH209" i="3"/>
  <c r="K209" i="3" s="1"/>
  <c r="AH201" i="3"/>
  <c r="K201" i="3" s="1"/>
  <c r="AH193" i="3"/>
  <c r="K193" i="3" s="1"/>
  <c r="AH185" i="3"/>
  <c r="K185" i="3" s="1"/>
  <c r="AH177" i="3"/>
  <c r="K177" i="3" s="1"/>
  <c r="AH169" i="3"/>
  <c r="K169" i="3" s="1"/>
  <c r="AH161" i="3"/>
  <c r="K161" i="3" s="1"/>
  <c r="AH153" i="3"/>
  <c r="K153" i="3" s="1"/>
  <c r="AH145" i="3"/>
  <c r="K145" i="3" s="1"/>
  <c r="AH137" i="3"/>
  <c r="K137" i="3" s="1"/>
  <c r="AH129" i="3"/>
  <c r="K129" i="3" s="1"/>
  <c r="AH121" i="3"/>
  <c r="K121" i="3" s="1"/>
  <c r="AH113" i="3"/>
  <c r="K113" i="3" s="1"/>
  <c r="AH105" i="3"/>
  <c r="K105" i="3" s="1"/>
  <c r="AH97" i="3"/>
  <c r="K97" i="3" s="1"/>
  <c r="AH89" i="3"/>
  <c r="K89" i="3" s="1"/>
  <c r="AH248" i="3"/>
  <c r="K248" i="3" s="1"/>
  <c r="AH240" i="3"/>
  <c r="K240" i="3" s="1"/>
  <c r="AH232" i="3"/>
  <c r="K232" i="3" s="1"/>
  <c r="AH224" i="3"/>
  <c r="K224" i="3" s="1"/>
  <c r="AH216" i="3"/>
  <c r="K216" i="3" s="1"/>
  <c r="AH208" i="3"/>
  <c r="K208" i="3" s="1"/>
  <c r="AH200" i="3"/>
  <c r="K200" i="3" s="1"/>
  <c r="AH192" i="3"/>
  <c r="K192" i="3" s="1"/>
  <c r="AH184" i="3"/>
  <c r="K184" i="3" s="1"/>
  <c r="AH176" i="3"/>
  <c r="K176" i="3" s="1"/>
  <c r="AH168" i="3"/>
  <c r="K168" i="3" s="1"/>
  <c r="AH160" i="3"/>
  <c r="K160" i="3" s="1"/>
  <c r="AH152" i="3"/>
  <c r="K152" i="3" s="1"/>
  <c r="AH144" i="3"/>
  <c r="K144" i="3" s="1"/>
  <c r="AH136" i="3"/>
  <c r="K136" i="3" s="1"/>
  <c r="AH128" i="3"/>
  <c r="K128" i="3" s="1"/>
  <c r="AH120" i="3"/>
  <c r="K120" i="3" s="1"/>
  <c r="AH112" i="3"/>
  <c r="K112" i="3" s="1"/>
  <c r="AH104" i="3"/>
  <c r="K104" i="3" s="1"/>
  <c r="AH96" i="3"/>
  <c r="K96" i="3" s="1"/>
  <c r="AH88" i="3"/>
  <c r="K88" i="3" s="1"/>
  <c r="AH247" i="3"/>
  <c r="K247" i="3" s="1"/>
  <c r="AH239" i="3"/>
  <c r="K239" i="3" s="1"/>
  <c r="AH231" i="3"/>
  <c r="K231" i="3" s="1"/>
  <c r="AH223" i="3"/>
  <c r="K223" i="3" s="1"/>
  <c r="AH215" i="3"/>
  <c r="K215" i="3" s="1"/>
  <c r="AH207" i="3"/>
  <c r="K207" i="3" s="1"/>
  <c r="AH199" i="3"/>
  <c r="K199" i="3" s="1"/>
  <c r="AH191" i="3"/>
  <c r="K191" i="3" s="1"/>
  <c r="AH183" i="3"/>
  <c r="K183" i="3" s="1"/>
  <c r="AH175" i="3"/>
  <c r="K175" i="3" s="1"/>
  <c r="AH167" i="3"/>
  <c r="K167" i="3" s="1"/>
  <c r="AH159" i="3"/>
  <c r="K159" i="3" s="1"/>
  <c r="AH151" i="3"/>
  <c r="K151" i="3" s="1"/>
  <c r="AH143" i="3"/>
  <c r="K143" i="3" s="1"/>
  <c r="AH135" i="3"/>
  <c r="K135" i="3" s="1"/>
  <c r="AH127" i="3"/>
  <c r="K127" i="3" s="1"/>
  <c r="AH119" i="3"/>
  <c r="K119" i="3" s="1"/>
  <c r="AH103" i="3"/>
  <c r="K103" i="3" s="1"/>
  <c r="AH95" i="3"/>
  <c r="K95" i="3" s="1"/>
  <c r="AH87" i="3"/>
  <c r="K87" i="3" s="1"/>
  <c r="AH246" i="3"/>
  <c r="K246" i="3" s="1"/>
  <c r="AH238" i="3"/>
  <c r="K238" i="3" s="1"/>
  <c r="AH230" i="3"/>
  <c r="K230" i="3" s="1"/>
  <c r="AH222" i="3"/>
  <c r="K222" i="3" s="1"/>
  <c r="AH214" i="3"/>
  <c r="K214" i="3" s="1"/>
  <c r="AH206" i="3"/>
  <c r="K206" i="3" s="1"/>
  <c r="AH198" i="3"/>
  <c r="K198" i="3" s="1"/>
  <c r="AH190" i="3"/>
  <c r="K190" i="3" s="1"/>
  <c r="AH182" i="3"/>
  <c r="K182" i="3" s="1"/>
  <c r="AH174" i="3"/>
  <c r="K174" i="3" s="1"/>
  <c r="AH166" i="3"/>
  <c r="K166" i="3" s="1"/>
  <c r="AH158" i="3"/>
  <c r="K158" i="3" s="1"/>
  <c r="AH150" i="3"/>
  <c r="K150" i="3" s="1"/>
  <c r="AH142" i="3"/>
  <c r="K142" i="3" s="1"/>
  <c r="AH134" i="3"/>
  <c r="K134" i="3" s="1"/>
  <c r="AH126" i="3"/>
  <c r="K126" i="3" s="1"/>
  <c r="AH118" i="3"/>
  <c r="K118" i="3" s="1"/>
  <c r="AH110" i="3"/>
  <c r="K110" i="3" s="1"/>
  <c r="AH102" i="3"/>
  <c r="K102" i="3" s="1"/>
  <c r="AH94" i="3"/>
  <c r="K94" i="3" s="1"/>
  <c r="AH86" i="3"/>
  <c r="K86" i="3" s="1"/>
  <c r="AH253" i="3"/>
  <c r="K253" i="3" s="1"/>
  <c r="AH245" i="3"/>
  <c r="K245" i="3" s="1"/>
  <c r="AH237" i="3"/>
  <c r="K237" i="3" s="1"/>
  <c r="AH229" i="3"/>
  <c r="K229" i="3" s="1"/>
  <c r="AH221" i="3"/>
  <c r="K221" i="3" s="1"/>
  <c r="AH213" i="3"/>
  <c r="K213" i="3" s="1"/>
  <c r="AH205" i="3"/>
  <c r="K205" i="3" s="1"/>
  <c r="AH197" i="3"/>
  <c r="K197" i="3" s="1"/>
  <c r="AH189" i="3"/>
  <c r="K189" i="3" s="1"/>
  <c r="AH181" i="3"/>
  <c r="K181" i="3" s="1"/>
  <c r="AH173" i="3"/>
  <c r="K173" i="3" s="1"/>
  <c r="AH165" i="3"/>
  <c r="K165" i="3" s="1"/>
  <c r="AH157" i="3"/>
  <c r="K157" i="3" s="1"/>
  <c r="AH149" i="3"/>
  <c r="K149" i="3" s="1"/>
  <c r="AH141" i="3"/>
  <c r="K141" i="3" s="1"/>
  <c r="AH133" i="3"/>
  <c r="K133" i="3" s="1"/>
  <c r="AH125" i="3"/>
  <c r="K125" i="3" s="1"/>
  <c r="AH117" i="3"/>
  <c r="K117" i="3" s="1"/>
  <c r="AH109" i="3"/>
  <c r="K109" i="3" s="1"/>
  <c r="AH101" i="3"/>
  <c r="K101" i="3" s="1"/>
  <c r="AH93" i="3"/>
  <c r="K93" i="3" s="1"/>
  <c r="AH85" i="3"/>
  <c r="K85" i="3" s="1"/>
  <c r="K111" i="3"/>
  <c r="L111" i="3" s="1"/>
  <c r="M111" i="3" s="1"/>
  <c r="O111" i="3" s="1"/>
  <c r="Z111" i="3" s="1"/>
  <c r="AH77" i="3"/>
  <c r="K77" i="3" s="1"/>
  <c r="L77" i="3" s="1"/>
  <c r="AI77" i="3"/>
  <c r="G12" i="7"/>
  <c r="B10" i="22"/>
  <c r="B26" i="23" l="1"/>
  <c r="B9" i="21"/>
  <c r="B6" i="20"/>
  <c r="B5" i="18" l="1"/>
  <c r="B5" i="17"/>
  <c r="B5" i="12" l="1"/>
  <c r="B5" i="19"/>
  <c r="I28" i="19"/>
  <c r="G28" i="19"/>
  <c r="K31" i="17"/>
  <c r="I31" i="17"/>
  <c r="J16" i="16"/>
  <c r="H16" i="16"/>
  <c r="J11" i="15"/>
  <c r="H11" i="15"/>
  <c r="F3" i="13"/>
  <c r="D3" i="13"/>
  <c r="I8" i="12"/>
  <c r="G8" i="12"/>
  <c r="B6" i="24"/>
  <c r="B11" i="11"/>
  <c r="F14" i="11"/>
  <c r="E14" i="11"/>
  <c r="D14" i="11"/>
  <c r="B8" i="11"/>
  <c r="B7" i="11"/>
  <c r="E12" i="7"/>
  <c r="B7" i="22"/>
  <c r="B6" i="22"/>
  <c r="B7" i="21"/>
  <c r="B6" i="21"/>
  <c r="B4" i="20"/>
  <c r="B3" i="20"/>
  <c r="B12" i="10"/>
  <c r="G12" i="9"/>
  <c r="E12" i="9"/>
  <c r="B9" i="9"/>
  <c r="B6" i="9"/>
  <c r="B5" i="9"/>
  <c r="B9" i="7"/>
  <c r="B11" i="10" s="1"/>
  <c r="B6" i="7"/>
  <c r="B8" i="10" s="1"/>
  <c r="B5" i="7"/>
  <c r="B7" i="10" s="1"/>
  <c r="G16" i="1" l="1"/>
  <c r="G15" i="1"/>
  <c r="G14" i="1"/>
  <c r="G13" i="1"/>
  <c r="G12" i="1"/>
  <c r="G11" i="1"/>
  <c r="G10" i="1"/>
  <c r="G9" i="1"/>
  <c r="G65" i="1"/>
  <c r="G64" i="1"/>
  <c r="G63" i="1"/>
  <c r="G62" i="1"/>
  <c r="G61" i="1"/>
  <c r="G60" i="1"/>
  <c r="G59" i="1"/>
  <c r="G58" i="1"/>
  <c r="G57" i="1"/>
  <c r="G56" i="1"/>
  <c r="G55" i="1"/>
  <c r="G54" i="1"/>
  <c r="G53" i="1"/>
  <c r="G46" i="1"/>
  <c r="G45" i="1"/>
  <c r="G44" i="1"/>
  <c r="G41" i="1"/>
  <c r="G40" i="1"/>
  <c r="G39" i="1"/>
  <c r="G38" i="1"/>
  <c r="G88" i="1"/>
  <c r="G35" i="1"/>
  <c r="G50" i="1"/>
  <c r="G49" i="1"/>
  <c r="G48" i="1"/>
  <c r="G68" i="1"/>
  <c r="H18" i="10" l="1"/>
  <c r="F21" i="10"/>
  <c r="J21" i="10" l="1"/>
  <c r="F26" i="10"/>
  <c r="AE565" i="5"/>
  <c r="AE564" i="5"/>
  <c r="AE563" i="5"/>
  <c r="AE562" i="5"/>
  <c r="AE561" i="5"/>
  <c r="AE560" i="5"/>
  <c r="AE559" i="5"/>
  <c r="AE558" i="5"/>
  <c r="AE557" i="5"/>
  <c r="AE556" i="5"/>
  <c r="AE555" i="5"/>
  <c r="AE554" i="5"/>
  <c r="AE553" i="5"/>
  <c r="AE552" i="5"/>
  <c r="AE551" i="5"/>
  <c r="AE550" i="5"/>
  <c r="AE549" i="5"/>
  <c r="AE548" i="5"/>
  <c r="AE547" i="5"/>
  <c r="AE546" i="5"/>
  <c r="AE545" i="5"/>
  <c r="AE544" i="5"/>
  <c r="AE543" i="5"/>
  <c r="AE542" i="5"/>
  <c r="AE541" i="5"/>
  <c r="AE540" i="5"/>
  <c r="AE539" i="5"/>
  <c r="AE538" i="5"/>
  <c r="AE537" i="5"/>
  <c r="AE536" i="5"/>
  <c r="AE535" i="5"/>
  <c r="AE534" i="5"/>
  <c r="AE533" i="5"/>
  <c r="AE532" i="5"/>
  <c r="AE531" i="5"/>
  <c r="AE530" i="5"/>
  <c r="AE529" i="5"/>
  <c r="AE528" i="5"/>
  <c r="AE527" i="5"/>
  <c r="AE526" i="5"/>
  <c r="AE525" i="5"/>
  <c r="AE524" i="5"/>
  <c r="AE523" i="5"/>
  <c r="AE522" i="5"/>
  <c r="AE521" i="5"/>
  <c r="AE520" i="5"/>
  <c r="AE519" i="5"/>
  <c r="AE518" i="5"/>
  <c r="AE517" i="5"/>
  <c r="AE516" i="5"/>
  <c r="AE515" i="5"/>
  <c r="AE514" i="5"/>
  <c r="AE513" i="5"/>
  <c r="AE512" i="5"/>
  <c r="AE511" i="5"/>
  <c r="AE510" i="5"/>
  <c r="AE509" i="5"/>
  <c r="AE508" i="5"/>
  <c r="AE507" i="5"/>
  <c r="AE506" i="5"/>
  <c r="AE505" i="5"/>
  <c r="AE504" i="5"/>
  <c r="AE503" i="5"/>
  <c r="AE502" i="5"/>
  <c r="AE501" i="5"/>
  <c r="AE500" i="5"/>
  <c r="AE499" i="5"/>
  <c r="AE498" i="5"/>
  <c r="AE497" i="5"/>
  <c r="AE496" i="5"/>
  <c r="AE495" i="5"/>
  <c r="AE494" i="5"/>
  <c r="AE493" i="5"/>
  <c r="AE492" i="5"/>
  <c r="AE491" i="5"/>
  <c r="AE490" i="5"/>
  <c r="AE489" i="5"/>
  <c r="AE488" i="5"/>
  <c r="AE487" i="5"/>
  <c r="AE486" i="5"/>
  <c r="AE485" i="5"/>
  <c r="AE484" i="5"/>
  <c r="AE483" i="5"/>
  <c r="AE482" i="5"/>
  <c r="AE481" i="5"/>
  <c r="AE480" i="5"/>
  <c r="AE479" i="5"/>
  <c r="AE478" i="5"/>
  <c r="AE477" i="5"/>
  <c r="AE476" i="5"/>
  <c r="AE475" i="5"/>
  <c r="AE474" i="5"/>
  <c r="AE473" i="5"/>
  <c r="AE472" i="5"/>
  <c r="AE471" i="5"/>
  <c r="AE470" i="5"/>
  <c r="AE469" i="5"/>
  <c r="AE468" i="5"/>
  <c r="AE467" i="5"/>
  <c r="AE466" i="5"/>
  <c r="AE465" i="5"/>
  <c r="AE464" i="5"/>
  <c r="AE463" i="5"/>
  <c r="AE462" i="5"/>
  <c r="AE461" i="5"/>
  <c r="AE460" i="5"/>
  <c r="AE459" i="5"/>
  <c r="AE458" i="5"/>
  <c r="AE457" i="5"/>
  <c r="AE456" i="5"/>
  <c r="AE455" i="5"/>
  <c r="AE454" i="5"/>
  <c r="AE453" i="5"/>
  <c r="AE452" i="5"/>
  <c r="AE451" i="5"/>
  <c r="AE450" i="5"/>
  <c r="AE449" i="5"/>
  <c r="AE448" i="5"/>
  <c r="AE447" i="5"/>
  <c r="AE446" i="5"/>
  <c r="AE445" i="5"/>
  <c r="AE444" i="5"/>
  <c r="AE443" i="5"/>
  <c r="AE442" i="5"/>
  <c r="AE441" i="5"/>
  <c r="AE440" i="5"/>
  <c r="AE439" i="5"/>
  <c r="AE438" i="5"/>
  <c r="AE437" i="5"/>
  <c r="AE436" i="5"/>
  <c r="AE435" i="5"/>
  <c r="AE434" i="5"/>
  <c r="AE433" i="5"/>
  <c r="AE432" i="5"/>
  <c r="AE431" i="5"/>
  <c r="AE430" i="5"/>
  <c r="AE429" i="5"/>
  <c r="AE428" i="5"/>
  <c r="AE427" i="5"/>
  <c r="AE426" i="5"/>
  <c r="AE425" i="5"/>
  <c r="AE424" i="5"/>
  <c r="AE423" i="5"/>
  <c r="AE422" i="5"/>
  <c r="AE421" i="5"/>
  <c r="AE420" i="5"/>
  <c r="AE419" i="5"/>
  <c r="AE418" i="5"/>
  <c r="AE417" i="5"/>
  <c r="AE416" i="5"/>
  <c r="AE415" i="5"/>
  <c r="AE414" i="5"/>
  <c r="AE413" i="5"/>
  <c r="AE412" i="5"/>
  <c r="AE411" i="5"/>
  <c r="AE410" i="5"/>
  <c r="AE409" i="5"/>
  <c r="AE408" i="5"/>
  <c r="AE407" i="5"/>
  <c r="AE406" i="5"/>
  <c r="AE405" i="5"/>
  <c r="AE404" i="5"/>
  <c r="AE403" i="5"/>
  <c r="AE402" i="5"/>
  <c r="AE401" i="5"/>
  <c r="AE400" i="5"/>
  <c r="AE399" i="5"/>
  <c r="AE398" i="5"/>
  <c r="AE397" i="5"/>
  <c r="AE396" i="5"/>
  <c r="AE395" i="5"/>
  <c r="AE394" i="5"/>
  <c r="AE393" i="5"/>
  <c r="AE392" i="5"/>
  <c r="AE391" i="5"/>
  <c r="AE390" i="5"/>
  <c r="AE389" i="5"/>
  <c r="AE388" i="5"/>
  <c r="AE387" i="5"/>
  <c r="AE386" i="5"/>
  <c r="AE385" i="5"/>
  <c r="AE384" i="5"/>
  <c r="AE383" i="5"/>
  <c r="AE382" i="5"/>
  <c r="AE381" i="5"/>
  <c r="AE380" i="5"/>
  <c r="AE379" i="5"/>
  <c r="AE378" i="5"/>
  <c r="AE377" i="5"/>
  <c r="AE376" i="5"/>
  <c r="AE375" i="5"/>
  <c r="AE374" i="5"/>
  <c r="AE373" i="5"/>
  <c r="AE372" i="5"/>
  <c r="AE371" i="5"/>
  <c r="AE370" i="5"/>
  <c r="AE369" i="5"/>
  <c r="AE368" i="5"/>
  <c r="AE367" i="5"/>
  <c r="AE366" i="5"/>
  <c r="AE365" i="5"/>
  <c r="AE364" i="5"/>
  <c r="AE363" i="5"/>
  <c r="AE362" i="5"/>
  <c r="AE361" i="5"/>
  <c r="AE360" i="5"/>
  <c r="AE359" i="5"/>
  <c r="AE358" i="5"/>
  <c r="AE357" i="5"/>
  <c r="AE356" i="5"/>
  <c r="AE355" i="5"/>
  <c r="AE354" i="5"/>
  <c r="AE353" i="5"/>
  <c r="AE352" i="5"/>
  <c r="AE351" i="5"/>
  <c r="AE350" i="5"/>
  <c r="AE349" i="5"/>
  <c r="AE348" i="5"/>
  <c r="AE347" i="5"/>
  <c r="AE346" i="5"/>
  <c r="AE345" i="5"/>
  <c r="AE344" i="5"/>
  <c r="AE343" i="5"/>
  <c r="AE342" i="5"/>
  <c r="AE341" i="5"/>
  <c r="AE340" i="5"/>
  <c r="AE339" i="5"/>
  <c r="AE338" i="5"/>
  <c r="AE337" i="5"/>
  <c r="AE336" i="5"/>
  <c r="AE335" i="5"/>
  <c r="AE334" i="5"/>
  <c r="AE333" i="5"/>
  <c r="AE332" i="5"/>
  <c r="AE331" i="5"/>
  <c r="AE330" i="5"/>
  <c r="AE329" i="5"/>
  <c r="AE328" i="5"/>
  <c r="AE327" i="5"/>
  <c r="AE326" i="5"/>
  <c r="AE325" i="5"/>
  <c r="AE324" i="5"/>
  <c r="AE323" i="5"/>
  <c r="AE322" i="5"/>
  <c r="AE321" i="5"/>
  <c r="AE320" i="5"/>
  <c r="AE319" i="5"/>
  <c r="AE318" i="5"/>
  <c r="AE317" i="5"/>
  <c r="AE316" i="5"/>
  <c r="AE315" i="5"/>
  <c r="AE314" i="5"/>
  <c r="AE313" i="5"/>
  <c r="AE312" i="5"/>
  <c r="AE311" i="5"/>
  <c r="AE310" i="5"/>
  <c r="AE309" i="5"/>
  <c r="AF284" i="5"/>
  <c r="AF272" i="5"/>
  <c r="AF253" i="5"/>
  <c r="AF180" i="5"/>
  <c r="AF168" i="5"/>
  <c r="AE78" i="5"/>
  <c r="K78" i="5" s="1"/>
  <c r="L78" i="5" s="1"/>
  <c r="M78" i="5" s="1"/>
  <c r="O78" i="5" s="1"/>
  <c r="Y78" i="5" s="1"/>
  <c r="AD71" i="5"/>
  <c r="AD70" i="5"/>
  <c r="AD69" i="5"/>
  <c r="AD68" i="5"/>
  <c r="AD67" i="5"/>
  <c r="AD66" i="5"/>
  <c r="AD65" i="5"/>
  <c r="AD64" i="5"/>
  <c r="AD63" i="5"/>
  <c r="AD62" i="5"/>
  <c r="AD61" i="5"/>
  <c r="AD60" i="5"/>
  <c r="AD59" i="5"/>
  <c r="AD58" i="5"/>
  <c r="AD57" i="5"/>
  <c r="AD56" i="5"/>
  <c r="AD55" i="5"/>
  <c r="AD54" i="5"/>
  <c r="AF54" i="5" s="1"/>
  <c r="AD53" i="5"/>
  <c r="AD52" i="5"/>
  <c r="AD51" i="5"/>
  <c r="AD50" i="5"/>
  <c r="AD49" i="5"/>
  <c r="AD48" i="5"/>
  <c r="AD47" i="5"/>
  <c r="AD46" i="5"/>
  <c r="AD45" i="5"/>
  <c r="AD44" i="5"/>
  <c r="AD43" i="5"/>
  <c r="AD42" i="5"/>
  <c r="AD41" i="5"/>
  <c r="AD40" i="5"/>
  <c r="AD39" i="5"/>
  <c r="AD38" i="5"/>
  <c r="AD37" i="5"/>
  <c r="AD36" i="5"/>
  <c r="AD35" i="5"/>
  <c r="AD34" i="5"/>
  <c r="AD33" i="5"/>
  <c r="AD32" i="5"/>
  <c r="AD31" i="5"/>
  <c r="AF31" i="5" s="1"/>
  <c r="AD30" i="5"/>
  <c r="AD29" i="5"/>
  <c r="AD28" i="5"/>
  <c r="AD27" i="5"/>
  <c r="AE27" i="5" s="1"/>
  <c r="K27" i="5" s="1"/>
  <c r="L27" i="5" s="1"/>
  <c r="M27" i="5" s="1"/>
  <c r="O27" i="5" s="1"/>
  <c r="Y27" i="5" s="1"/>
  <c r="AD26" i="5"/>
  <c r="AD25" i="5"/>
  <c r="AD24" i="5"/>
  <c r="AE24" i="5" s="1"/>
  <c r="K24" i="5" s="1"/>
  <c r="L24" i="5" s="1"/>
  <c r="M24" i="5" s="1"/>
  <c r="O24" i="5" s="1"/>
  <c r="Y24" i="5" s="1"/>
  <c r="AD23" i="5"/>
  <c r="AD22" i="5"/>
  <c r="AD21" i="5"/>
  <c r="AD20" i="5"/>
  <c r="AD19" i="5"/>
  <c r="AD18" i="5"/>
  <c r="AD17" i="5"/>
  <c r="AD16" i="5"/>
  <c r="AD15" i="5"/>
  <c r="AD14" i="5"/>
  <c r="AD13" i="5"/>
  <c r="AD12" i="5"/>
  <c r="AD11" i="5"/>
  <c r="AI128" i="3"/>
  <c r="AI136" i="3"/>
  <c r="AI140" i="3"/>
  <c r="AI144" i="3"/>
  <c r="AI147" i="3"/>
  <c r="AI148" i="3"/>
  <c r="AI152" i="3"/>
  <c r="AI156" i="3"/>
  <c r="AI160" i="3"/>
  <c r="AI163" i="3"/>
  <c r="AI164" i="3"/>
  <c r="AI168" i="3"/>
  <c r="AI172" i="3"/>
  <c r="AI176" i="3"/>
  <c r="AI179" i="3"/>
  <c r="AI180" i="3"/>
  <c r="AI184" i="3"/>
  <c r="AI188" i="3"/>
  <c r="AI192" i="3"/>
  <c r="AI195" i="3"/>
  <c r="AI196" i="3"/>
  <c r="AI200" i="3"/>
  <c r="AI204" i="3"/>
  <c r="AI208" i="3"/>
  <c r="AI211" i="3"/>
  <c r="AI212" i="3"/>
  <c r="AI216" i="3"/>
  <c r="AI219" i="3"/>
  <c r="AI220" i="3"/>
  <c r="AI224" i="3"/>
  <c r="AI227" i="3"/>
  <c r="AI228" i="3"/>
  <c r="AI232" i="3"/>
  <c r="AI235" i="3"/>
  <c r="AI240" i="3"/>
  <c r="AI243" i="3"/>
  <c r="AI248" i="3"/>
  <c r="AI251" i="3"/>
  <c r="AI255" i="3"/>
  <c r="AI256" i="3"/>
  <c r="AI259" i="3"/>
  <c r="AI260" i="3"/>
  <c r="AI263" i="3"/>
  <c r="AI264" i="3"/>
  <c r="AI267" i="3"/>
  <c r="AI268" i="3"/>
  <c r="AI271" i="3"/>
  <c r="AI272" i="3"/>
  <c r="AI275" i="3"/>
  <c r="AI276" i="3"/>
  <c r="AI279" i="3"/>
  <c r="AI280" i="3"/>
  <c r="AI283" i="3"/>
  <c r="AI284" i="3"/>
  <c r="AI287" i="3"/>
  <c r="AI288" i="3"/>
  <c r="AI291" i="3"/>
  <c r="AI292" i="3"/>
  <c r="AI295" i="3"/>
  <c r="AI296" i="3"/>
  <c r="AI299" i="3"/>
  <c r="AG3" i="3"/>
  <c r="AG4" i="3"/>
  <c r="AG5" i="3"/>
  <c r="AG6" i="3"/>
  <c r="AG7" i="3"/>
  <c r="AG8" i="3"/>
  <c r="AG9" i="3"/>
  <c r="AG10" i="3"/>
  <c r="AG11" i="3"/>
  <c r="AG12" i="3"/>
  <c r="AI12" i="3" s="1"/>
  <c r="AG13" i="3"/>
  <c r="AI13" i="3" s="1"/>
  <c r="AG14" i="3"/>
  <c r="AI14" i="3" s="1"/>
  <c r="AG15" i="3"/>
  <c r="AI15" i="3" s="1"/>
  <c r="AG16" i="3"/>
  <c r="AI16" i="3" s="1"/>
  <c r="AG17" i="3"/>
  <c r="AI17" i="3" s="1"/>
  <c r="AG18" i="3"/>
  <c r="AI18" i="3" s="1"/>
  <c r="AG19" i="3"/>
  <c r="AI19" i="3" s="1"/>
  <c r="AG20" i="3"/>
  <c r="AI20" i="3" s="1"/>
  <c r="AG21" i="3"/>
  <c r="AI21" i="3" s="1"/>
  <c r="AG22" i="3"/>
  <c r="AI22" i="3" s="1"/>
  <c r="AG23" i="3"/>
  <c r="AI23" i="3" s="1"/>
  <c r="AG24" i="3"/>
  <c r="AI24" i="3" s="1"/>
  <c r="AG25" i="3"/>
  <c r="AI25" i="3" s="1"/>
  <c r="AG26" i="3"/>
  <c r="AI26" i="3" s="1"/>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I89" i="3"/>
  <c r="AI90" i="3"/>
  <c r="AI91" i="3"/>
  <c r="AG2" i="3"/>
  <c r="AE253" i="5" l="1"/>
  <c r="AE154" i="5"/>
  <c r="K154" i="5" s="1"/>
  <c r="L154" i="5" s="1"/>
  <c r="M154" i="5" s="1"/>
  <c r="O154" i="5" s="1"/>
  <c r="AF154" i="5"/>
  <c r="AE177" i="5"/>
  <c r="K177" i="5" s="1"/>
  <c r="L177" i="5" s="1"/>
  <c r="M177" i="5" s="1"/>
  <c r="O177" i="5" s="1"/>
  <c r="AF177" i="5"/>
  <c r="AE200" i="5"/>
  <c r="K200" i="5" s="1"/>
  <c r="L200" i="5" s="1"/>
  <c r="M200" i="5" s="1"/>
  <c r="O200" i="5" s="1"/>
  <c r="AF200" i="5"/>
  <c r="AE224" i="5"/>
  <c r="K224" i="5" s="1"/>
  <c r="L224" i="5" s="1"/>
  <c r="M224" i="5" s="1"/>
  <c r="O224" i="5" s="1"/>
  <c r="AF224" i="5"/>
  <c r="AE240" i="5"/>
  <c r="K240" i="5" s="1"/>
  <c r="L240" i="5" s="1"/>
  <c r="M240" i="5" s="1"/>
  <c r="O240" i="5" s="1"/>
  <c r="AF240" i="5"/>
  <c r="AE255" i="5"/>
  <c r="AF255" i="5"/>
  <c r="AE271" i="5"/>
  <c r="AF271" i="5"/>
  <c r="AE285" i="5"/>
  <c r="AF285" i="5"/>
  <c r="AE301" i="5"/>
  <c r="AF301" i="5"/>
  <c r="AE147" i="5"/>
  <c r="K147" i="5" s="1"/>
  <c r="L147" i="5" s="1"/>
  <c r="M147" i="5" s="1"/>
  <c r="O147" i="5" s="1"/>
  <c r="AF147" i="5"/>
  <c r="AE170" i="5"/>
  <c r="K170" i="5" s="1"/>
  <c r="L170" i="5" s="1"/>
  <c r="M170" i="5" s="1"/>
  <c r="O170" i="5" s="1"/>
  <c r="AF170" i="5"/>
  <c r="AE185" i="5"/>
  <c r="K185" i="5" s="1"/>
  <c r="L185" i="5" s="1"/>
  <c r="M185" i="5" s="1"/>
  <c r="O185" i="5" s="1"/>
  <c r="AF185" i="5"/>
  <c r="AE201" i="5"/>
  <c r="K201" i="5" s="1"/>
  <c r="L201" i="5" s="1"/>
  <c r="M201" i="5" s="1"/>
  <c r="O201" i="5" s="1"/>
  <c r="AF201" i="5"/>
  <c r="AE225" i="5"/>
  <c r="K225" i="5" s="1"/>
  <c r="L225" i="5" s="1"/>
  <c r="M225" i="5" s="1"/>
  <c r="O225" i="5" s="1"/>
  <c r="AF225" i="5"/>
  <c r="AE241" i="5"/>
  <c r="K241" i="5" s="1"/>
  <c r="L241" i="5" s="1"/>
  <c r="M241" i="5" s="1"/>
  <c r="O241" i="5" s="1"/>
  <c r="AF241" i="5"/>
  <c r="AE256" i="5"/>
  <c r="AF256" i="5"/>
  <c r="AE140" i="5"/>
  <c r="K140" i="5" s="1"/>
  <c r="L140" i="5" s="1"/>
  <c r="M140" i="5" s="1"/>
  <c r="O140" i="5" s="1"/>
  <c r="AF140" i="5"/>
  <c r="AE148" i="5"/>
  <c r="K148" i="5" s="1"/>
  <c r="L148" i="5" s="1"/>
  <c r="M148" i="5" s="1"/>
  <c r="O148" i="5" s="1"/>
  <c r="AF148" i="5"/>
  <c r="AE156" i="5"/>
  <c r="K156" i="5" s="1"/>
  <c r="L156" i="5" s="1"/>
  <c r="M156" i="5" s="1"/>
  <c r="O156" i="5" s="1"/>
  <c r="AF156" i="5"/>
  <c r="AE164" i="5"/>
  <c r="K164" i="5" s="1"/>
  <c r="L164" i="5" s="1"/>
  <c r="M164" i="5" s="1"/>
  <c r="O164" i="5" s="1"/>
  <c r="AF164" i="5"/>
  <c r="AE171" i="5"/>
  <c r="K171" i="5" s="1"/>
  <c r="L171" i="5" s="1"/>
  <c r="M171" i="5" s="1"/>
  <c r="O171" i="5" s="1"/>
  <c r="AF171" i="5"/>
  <c r="AE179" i="5"/>
  <c r="K179" i="5" s="1"/>
  <c r="L179" i="5" s="1"/>
  <c r="M179" i="5" s="1"/>
  <c r="O179" i="5" s="1"/>
  <c r="AF179" i="5"/>
  <c r="AE186" i="5"/>
  <c r="K186" i="5" s="1"/>
  <c r="L186" i="5" s="1"/>
  <c r="M186" i="5" s="1"/>
  <c r="O186" i="5" s="1"/>
  <c r="AF186" i="5"/>
  <c r="AE194" i="5"/>
  <c r="K194" i="5" s="1"/>
  <c r="L194" i="5" s="1"/>
  <c r="M194" i="5" s="1"/>
  <c r="O194" i="5" s="1"/>
  <c r="AF194" i="5"/>
  <c r="AE202" i="5"/>
  <c r="K202" i="5" s="1"/>
  <c r="L202" i="5" s="1"/>
  <c r="M202" i="5" s="1"/>
  <c r="O202" i="5" s="1"/>
  <c r="AF202" i="5"/>
  <c r="AE210" i="5"/>
  <c r="K210" i="5" s="1"/>
  <c r="L210" i="5" s="1"/>
  <c r="M210" i="5" s="1"/>
  <c r="O210" i="5" s="1"/>
  <c r="AF210" i="5"/>
  <c r="AE218" i="5"/>
  <c r="K218" i="5" s="1"/>
  <c r="L218" i="5" s="1"/>
  <c r="M218" i="5" s="1"/>
  <c r="O218" i="5" s="1"/>
  <c r="AF218" i="5"/>
  <c r="AE226" i="5"/>
  <c r="K226" i="5" s="1"/>
  <c r="L226" i="5" s="1"/>
  <c r="M226" i="5" s="1"/>
  <c r="O226" i="5" s="1"/>
  <c r="AF226" i="5"/>
  <c r="AE234" i="5"/>
  <c r="K234" i="5" s="1"/>
  <c r="L234" i="5" s="1"/>
  <c r="M234" i="5" s="1"/>
  <c r="O234" i="5" s="1"/>
  <c r="AF234" i="5"/>
  <c r="AE242" i="5"/>
  <c r="K242" i="5" s="1"/>
  <c r="L242" i="5" s="1"/>
  <c r="M242" i="5" s="1"/>
  <c r="O242" i="5" s="1"/>
  <c r="AF242" i="5"/>
  <c r="AE250" i="5"/>
  <c r="K250" i="5" s="1"/>
  <c r="L250" i="5" s="1"/>
  <c r="M250" i="5" s="1"/>
  <c r="O250" i="5" s="1"/>
  <c r="AF250" i="5"/>
  <c r="AE257" i="5"/>
  <c r="AF257" i="5"/>
  <c r="AE265" i="5"/>
  <c r="AF265" i="5"/>
  <c r="AE272" i="5"/>
  <c r="AE280" i="5"/>
  <c r="AF280" i="5"/>
  <c r="AE287" i="5"/>
  <c r="AF287" i="5"/>
  <c r="AE295" i="5"/>
  <c r="AF295" i="5"/>
  <c r="AE303" i="5"/>
  <c r="AF303" i="5"/>
  <c r="AE146" i="5"/>
  <c r="K146" i="5" s="1"/>
  <c r="L146" i="5" s="1"/>
  <c r="M146" i="5" s="1"/>
  <c r="O146" i="5" s="1"/>
  <c r="AF146" i="5"/>
  <c r="AE169" i="5"/>
  <c r="K169" i="5" s="1"/>
  <c r="L169" i="5" s="1"/>
  <c r="M169" i="5" s="1"/>
  <c r="O169" i="5" s="1"/>
  <c r="AF169" i="5"/>
  <c r="AE192" i="5"/>
  <c r="K192" i="5" s="1"/>
  <c r="L192" i="5" s="1"/>
  <c r="M192" i="5" s="1"/>
  <c r="O192" i="5" s="1"/>
  <c r="AF192" i="5"/>
  <c r="AE208" i="5"/>
  <c r="K208" i="5" s="1"/>
  <c r="L208" i="5" s="1"/>
  <c r="M208" i="5" s="1"/>
  <c r="O208" i="5" s="1"/>
  <c r="AF208" i="5"/>
  <c r="AE232" i="5"/>
  <c r="K232" i="5" s="1"/>
  <c r="L232" i="5" s="1"/>
  <c r="M232" i="5" s="1"/>
  <c r="O232" i="5" s="1"/>
  <c r="AF232" i="5"/>
  <c r="AE248" i="5"/>
  <c r="K248" i="5" s="1"/>
  <c r="L248" i="5" s="1"/>
  <c r="M248" i="5" s="1"/>
  <c r="O248" i="5" s="1"/>
  <c r="AF248" i="5"/>
  <c r="AE263" i="5"/>
  <c r="AF263" i="5"/>
  <c r="AE139" i="5"/>
  <c r="K139" i="5" s="1"/>
  <c r="L139" i="5" s="1"/>
  <c r="M139" i="5" s="1"/>
  <c r="O139" i="5" s="1"/>
  <c r="AF139" i="5"/>
  <c r="AE163" i="5"/>
  <c r="K163" i="5" s="1"/>
  <c r="L163" i="5" s="1"/>
  <c r="M163" i="5" s="1"/>
  <c r="O163" i="5" s="1"/>
  <c r="AF163" i="5"/>
  <c r="AE178" i="5"/>
  <c r="K178" i="5" s="1"/>
  <c r="L178" i="5" s="1"/>
  <c r="M178" i="5" s="1"/>
  <c r="O178" i="5" s="1"/>
  <c r="AF178" i="5"/>
  <c r="AE193" i="5"/>
  <c r="K193" i="5" s="1"/>
  <c r="L193" i="5" s="1"/>
  <c r="M193" i="5" s="1"/>
  <c r="O193" i="5" s="1"/>
  <c r="AF193" i="5"/>
  <c r="AE209" i="5"/>
  <c r="K209" i="5" s="1"/>
  <c r="L209" i="5" s="1"/>
  <c r="M209" i="5" s="1"/>
  <c r="O209" i="5" s="1"/>
  <c r="AF209" i="5"/>
  <c r="AE141" i="5"/>
  <c r="K141" i="5" s="1"/>
  <c r="L141" i="5" s="1"/>
  <c r="M141" i="5" s="1"/>
  <c r="O141" i="5" s="1"/>
  <c r="AF141" i="5"/>
  <c r="AE149" i="5"/>
  <c r="K149" i="5" s="1"/>
  <c r="L149" i="5" s="1"/>
  <c r="M149" i="5" s="1"/>
  <c r="O149" i="5" s="1"/>
  <c r="AF149" i="5"/>
  <c r="AE157" i="5"/>
  <c r="K157" i="5" s="1"/>
  <c r="L157" i="5" s="1"/>
  <c r="M157" i="5" s="1"/>
  <c r="O157" i="5" s="1"/>
  <c r="AF157" i="5"/>
  <c r="AE165" i="5"/>
  <c r="K165" i="5" s="1"/>
  <c r="L165" i="5" s="1"/>
  <c r="M165" i="5" s="1"/>
  <c r="O165" i="5" s="1"/>
  <c r="AF165" i="5"/>
  <c r="AE172" i="5"/>
  <c r="K172" i="5" s="1"/>
  <c r="L172" i="5" s="1"/>
  <c r="M172" i="5" s="1"/>
  <c r="O172" i="5" s="1"/>
  <c r="AF172" i="5"/>
  <c r="AE187" i="5"/>
  <c r="K187" i="5" s="1"/>
  <c r="L187" i="5" s="1"/>
  <c r="M187" i="5" s="1"/>
  <c r="O187" i="5" s="1"/>
  <c r="AF187" i="5"/>
  <c r="AE195" i="5"/>
  <c r="K195" i="5" s="1"/>
  <c r="L195" i="5" s="1"/>
  <c r="M195" i="5" s="1"/>
  <c r="O195" i="5" s="1"/>
  <c r="AF195" i="5"/>
  <c r="AE203" i="5"/>
  <c r="K203" i="5" s="1"/>
  <c r="L203" i="5" s="1"/>
  <c r="M203" i="5" s="1"/>
  <c r="O203" i="5" s="1"/>
  <c r="AF203" i="5"/>
  <c r="AE211" i="5"/>
  <c r="K211" i="5" s="1"/>
  <c r="L211" i="5" s="1"/>
  <c r="M211" i="5" s="1"/>
  <c r="O211" i="5" s="1"/>
  <c r="AF211" i="5"/>
  <c r="AE219" i="5"/>
  <c r="K219" i="5" s="1"/>
  <c r="L219" i="5" s="1"/>
  <c r="M219" i="5" s="1"/>
  <c r="O219" i="5" s="1"/>
  <c r="AF219" i="5"/>
  <c r="AE227" i="5"/>
  <c r="K227" i="5" s="1"/>
  <c r="L227" i="5" s="1"/>
  <c r="M227" i="5" s="1"/>
  <c r="O227" i="5" s="1"/>
  <c r="AF227" i="5"/>
  <c r="AE235" i="5"/>
  <c r="K235" i="5" s="1"/>
  <c r="L235" i="5" s="1"/>
  <c r="M235" i="5" s="1"/>
  <c r="O235" i="5" s="1"/>
  <c r="AF235" i="5"/>
  <c r="AE243" i="5"/>
  <c r="K243" i="5" s="1"/>
  <c r="L243" i="5" s="1"/>
  <c r="M243" i="5" s="1"/>
  <c r="O243" i="5" s="1"/>
  <c r="AF243" i="5"/>
  <c r="AE251" i="5"/>
  <c r="K251" i="5" s="1"/>
  <c r="L251" i="5" s="1"/>
  <c r="M251" i="5" s="1"/>
  <c r="O251" i="5" s="1"/>
  <c r="AF251" i="5"/>
  <c r="AE258" i="5"/>
  <c r="AF258" i="5"/>
  <c r="AE266" i="5"/>
  <c r="AF266" i="5"/>
  <c r="AE273" i="5"/>
  <c r="AF273" i="5"/>
  <c r="AE281" i="5"/>
  <c r="AF281" i="5"/>
  <c r="AE288" i="5"/>
  <c r="AF288" i="5"/>
  <c r="AE296" i="5"/>
  <c r="AF296" i="5"/>
  <c r="AE304" i="5"/>
  <c r="AF304" i="5"/>
  <c r="AE138" i="5"/>
  <c r="K138" i="5" s="1"/>
  <c r="L138" i="5" s="1"/>
  <c r="M138" i="5" s="1"/>
  <c r="O138" i="5" s="1"/>
  <c r="AF138" i="5"/>
  <c r="AE162" i="5"/>
  <c r="K162" i="5" s="1"/>
  <c r="L162" i="5" s="1"/>
  <c r="M162" i="5" s="1"/>
  <c r="O162" i="5" s="1"/>
  <c r="AF162" i="5"/>
  <c r="AE184" i="5"/>
  <c r="K184" i="5" s="1"/>
  <c r="L184" i="5" s="1"/>
  <c r="M184" i="5" s="1"/>
  <c r="O184" i="5" s="1"/>
  <c r="AF184" i="5"/>
  <c r="AE216" i="5"/>
  <c r="K216" i="5" s="1"/>
  <c r="L216" i="5" s="1"/>
  <c r="M216" i="5" s="1"/>
  <c r="O216" i="5" s="1"/>
  <c r="AF216" i="5"/>
  <c r="AE278" i="5"/>
  <c r="AF278" i="5"/>
  <c r="AE293" i="5"/>
  <c r="AF293" i="5"/>
  <c r="AE155" i="5"/>
  <c r="K155" i="5" s="1"/>
  <c r="L155" i="5" s="1"/>
  <c r="M155" i="5" s="1"/>
  <c r="O155" i="5" s="1"/>
  <c r="AF155" i="5"/>
  <c r="AE217" i="5"/>
  <c r="K217" i="5" s="1"/>
  <c r="L217" i="5" s="1"/>
  <c r="M217" i="5" s="1"/>
  <c r="O217" i="5" s="1"/>
  <c r="AF217" i="5"/>
  <c r="AE233" i="5"/>
  <c r="K233" i="5" s="1"/>
  <c r="L233" i="5" s="1"/>
  <c r="M233" i="5" s="1"/>
  <c r="O233" i="5" s="1"/>
  <c r="AF233" i="5"/>
  <c r="AE249" i="5"/>
  <c r="K249" i="5" s="1"/>
  <c r="L249" i="5" s="1"/>
  <c r="M249" i="5" s="1"/>
  <c r="O249" i="5" s="1"/>
  <c r="AF249" i="5"/>
  <c r="AE264" i="5"/>
  <c r="AF264" i="5"/>
  <c r="AE279" i="5"/>
  <c r="AF279" i="5"/>
  <c r="AE286" i="5"/>
  <c r="AF286" i="5"/>
  <c r="AE294" i="5"/>
  <c r="AF294" i="5"/>
  <c r="AE302" i="5"/>
  <c r="AF302" i="5"/>
  <c r="AE142" i="5"/>
  <c r="K142" i="5" s="1"/>
  <c r="L142" i="5" s="1"/>
  <c r="M142" i="5" s="1"/>
  <c r="O142" i="5" s="1"/>
  <c r="AF142" i="5"/>
  <c r="AE150" i="5"/>
  <c r="K150" i="5" s="1"/>
  <c r="L150" i="5" s="1"/>
  <c r="M150" i="5" s="1"/>
  <c r="O150" i="5" s="1"/>
  <c r="AF150" i="5"/>
  <c r="AE158" i="5"/>
  <c r="K158" i="5" s="1"/>
  <c r="L158" i="5" s="1"/>
  <c r="M158" i="5" s="1"/>
  <c r="O158" i="5" s="1"/>
  <c r="AF158" i="5"/>
  <c r="AE166" i="5"/>
  <c r="K166" i="5" s="1"/>
  <c r="L166" i="5" s="1"/>
  <c r="M166" i="5" s="1"/>
  <c r="O166" i="5" s="1"/>
  <c r="AF166" i="5"/>
  <c r="AE173" i="5"/>
  <c r="K173" i="5" s="1"/>
  <c r="L173" i="5" s="1"/>
  <c r="M173" i="5" s="1"/>
  <c r="O173" i="5" s="1"/>
  <c r="AF173" i="5"/>
  <c r="AE180" i="5"/>
  <c r="K180" i="5" s="1"/>
  <c r="L180" i="5" s="1"/>
  <c r="M180" i="5" s="1"/>
  <c r="O180" i="5" s="1"/>
  <c r="AE188" i="5"/>
  <c r="K188" i="5" s="1"/>
  <c r="L188" i="5" s="1"/>
  <c r="M188" i="5" s="1"/>
  <c r="O188" i="5" s="1"/>
  <c r="AF188" i="5"/>
  <c r="AE196" i="5"/>
  <c r="K196" i="5" s="1"/>
  <c r="L196" i="5" s="1"/>
  <c r="M196" i="5" s="1"/>
  <c r="O196" i="5" s="1"/>
  <c r="AF196" i="5"/>
  <c r="AE204" i="5"/>
  <c r="K204" i="5" s="1"/>
  <c r="L204" i="5" s="1"/>
  <c r="M204" i="5" s="1"/>
  <c r="O204" i="5" s="1"/>
  <c r="AF204" i="5"/>
  <c r="AE212" i="5"/>
  <c r="K212" i="5" s="1"/>
  <c r="L212" i="5" s="1"/>
  <c r="M212" i="5" s="1"/>
  <c r="O212" i="5" s="1"/>
  <c r="AF212" i="5"/>
  <c r="AE220" i="5"/>
  <c r="K220" i="5" s="1"/>
  <c r="L220" i="5" s="1"/>
  <c r="M220" i="5" s="1"/>
  <c r="O220" i="5" s="1"/>
  <c r="AF220" i="5"/>
  <c r="AE228" i="5"/>
  <c r="K228" i="5" s="1"/>
  <c r="L228" i="5" s="1"/>
  <c r="M228" i="5" s="1"/>
  <c r="O228" i="5" s="1"/>
  <c r="AF228" i="5"/>
  <c r="AE236" i="5"/>
  <c r="K236" i="5" s="1"/>
  <c r="L236" i="5" s="1"/>
  <c r="M236" i="5" s="1"/>
  <c r="O236" i="5" s="1"/>
  <c r="AF236" i="5"/>
  <c r="AE244" i="5"/>
  <c r="K244" i="5" s="1"/>
  <c r="L244" i="5" s="1"/>
  <c r="M244" i="5" s="1"/>
  <c r="O244" i="5" s="1"/>
  <c r="AF244" i="5"/>
  <c r="AE252" i="5"/>
  <c r="AF252" i="5"/>
  <c r="AE259" i="5"/>
  <c r="AF259" i="5"/>
  <c r="AE267" i="5"/>
  <c r="AF267" i="5"/>
  <c r="AE274" i="5"/>
  <c r="AF274" i="5"/>
  <c r="AE282" i="5"/>
  <c r="AF282" i="5"/>
  <c r="AE289" i="5"/>
  <c r="AF289" i="5"/>
  <c r="AE297" i="5"/>
  <c r="AF297" i="5"/>
  <c r="AE305" i="5"/>
  <c r="AF305" i="5"/>
  <c r="AE143" i="5"/>
  <c r="K143" i="5" s="1"/>
  <c r="L143" i="5" s="1"/>
  <c r="M143" i="5" s="1"/>
  <c r="O143" i="5" s="1"/>
  <c r="AF143" i="5"/>
  <c r="AE151" i="5"/>
  <c r="K151" i="5" s="1"/>
  <c r="L151" i="5" s="1"/>
  <c r="M151" i="5" s="1"/>
  <c r="O151" i="5" s="1"/>
  <c r="AF151" i="5"/>
  <c r="AE159" i="5"/>
  <c r="K159" i="5" s="1"/>
  <c r="L159" i="5" s="1"/>
  <c r="M159" i="5" s="1"/>
  <c r="O159" i="5" s="1"/>
  <c r="AF159" i="5"/>
  <c r="AE167" i="5"/>
  <c r="K167" i="5" s="1"/>
  <c r="L167" i="5" s="1"/>
  <c r="M167" i="5" s="1"/>
  <c r="O167" i="5" s="1"/>
  <c r="AF167" i="5"/>
  <c r="AE174" i="5"/>
  <c r="K174" i="5" s="1"/>
  <c r="L174" i="5" s="1"/>
  <c r="M174" i="5" s="1"/>
  <c r="O174" i="5" s="1"/>
  <c r="AF174" i="5"/>
  <c r="AE181" i="5"/>
  <c r="K181" i="5" s="1"/>
  <c r="L181" i="5" s="1"/>
  <c r="M181" i="5" s="1"/>
  <c r="O181" i="5" s="1"/>
  <c r="AF181" i="5"/>
  <c r="AE189" i="5"/>
  <c r="K189" i="5" s="1"/>
  <c r="L189" i="5" s="1"/>
  <c r="M189" i="5" s="1"/>
  <c r="O189" i="5" s="1"/>
  <c r="AF189" i="5"/>
  <c r="AE197" i="5"/>
  <c r="K197" i="5" s="1"/>
  <c r="L197" i="5" s="1"/>
  <c r="M197" i="5" s="1"/>
  <c r="O197" i="5" s="1"/>
  <c r="AF197" i="5"/>
  <c r="AE205" i="5"/>
  <c r="K205" i="5" s="1"/>
  <c r="L205" i="5" s="1"/>
  <c r="M205" i="5" s="1"/>
  <c r="O205" i="5" s="1"/>
  <c r="AF205" i="5"/>
  <c r="AE213" i="5"/>
  <c r="K213" i="5" s="1"/>
  <c r="L213" i="5" s="1"/>
  <c r="M213" i="5" s="1"/>
  <c r="O213" i="5" s="1"/>
  <c r="AF213" i="5"/>
  <c r="AE221" i="5"/>
  <c r="K221" i="5" s="1"/>
  <c r="L221" i="5" s="1"/>
  <c r="M221" i="5" s="1"/>
  <c r="O221" i="5" s="1"/>
  <c r="AF221" i="5"/>
  <c r="AE229" i="5"/>
  <c r="K229" i="5" s="1"/>
  <c r="L229" i="5" s="1"/>
  <c r="M229" i="5" s="1"/>
  <c r="O229" i="5" s="1"/>
  <c r="AF229" i="5"/>
  <c r="AE237" i="5"/>
  <c r="K237" i="5" s="1"/>
  <c r="L237" i="5" s="1"/>
  <c r="M237" i="5" s="1"/>
  <c r="O237" i="5" s="1"/>
  <c r="AF237" i="5"/>
  <c r="AE245" i="5"/>
  <c r="K245" i="5" s="1"/>
  <c r="L245" i="5" s="1"/>
  <c r="M245" i="5" s="1"/>
  <c r="O245" i="5" s="1"/>
  <c r="AF245" i="5"/>
  <c r="AE260" i="5"/>
  <c r="AF260" i="5"/>
  <c r="AE268" i="5"/>
  <c r="AF268" i="5"/>
  <c r="AE275" i="5"/>
  <c r="AF275" i="5"/>
  <c r="AE283" i="5"/>
  <c r="AF283" i="5"/>
  <c r="AE290" i="5"/>
  <c r="AF290" i="5"/>
  <c r="AE298" i="5"/>
  <c r="AF298" i="5"/>
  <c r="AE306" i="5"/>
  <c r="AF306" i="5"/>
  <c r="AE144" i="5"/>
  <c r="K144" i="5" s="1"/>
  <c r="L144" i="5" s="1"/>
  <c r="M144" i="5" s="1"/>
  <c r="O144" i="5" s="1"/>
  <c r="AF144" i="5"/>
  <c r="AE152" i="5"/>
  <c r="K152" i="5" s="1"/>
  <c r="L152" i="5" s="1"/>
  <c r="M152" i="5" s="1"/>
  <c r="O152" i="5" s="1"/>
  <c r="AF152" i="5"/>
  <c r="AE160" i="5"/>
  <c r="K160" i="5" s="1"/>
  <c r="L160" i="5" s="1"/>
  <c r="M160" i="5" s="1"/>
  <c r="O160" i="5" s="1"/>
  <c r="AF160" i="5"/>
  <c r="AE175" i="5"/>
  <c r="K175" i="5" s="1"/>
  <c r="L175" i="5" s="1"/>
  <c r="M175" i="5" s="1"/>
  <c r="O175" i="5" s="1"/>
  <c r="AF175" i="5"/>
  <c r="AE182" i="5"/>
  <c r="K182" i="5" s="1"/>
  <c r="L182" i="5" s="1"/>
  <c r="M182" i="5" s="1"/>
  <c r="O182" i="5" s="1"/>
  <c r="AF182" i="5"/>
  <c r="AE190" i="5"/>
  <c r="K190" i="5" s="1"/>
  <c r="L190" i="5" s="1"/>
  <c r="M190" i="5" s="1"/>
  <c r="O190" i="5" s="1"/>
  <c r="AF190" i="5"/>
  <c r="AE198" i="5"/>
  <c r="K198" i="5" s="1"/>
  <c r="L198" i="5" s="1"/>
  <c r="M198" i="5" s="1"/>
  <c r="O198" i="5" s="1"/>
  <c r="AF198" i="5"/>
  <c r="AE206" i="5"/>
  <c r="K206" i="5" s="1"/>
  <c r="L206" i="5" s="1"/>
  <c r="M206" i="5" s="1"/>
  <c r="O206" i="5" s="1"/>
  <c r="AF206" i="5"/>
  <c r="AE214" i="5"/>
  <c r="K214" i="5" s="1"/>
  <c r="L214" i="5" s="1"/>
  <c r="M214" i="5" s="1"/>
  <c r="O214" i="5" s="1"/>
  <c r="AF214" i="5"/>
  <c r="AE222" i="5"/>
  <c r="K222" i="5" s="1"/>
  <c r="L222" i="5" s="1"/>
  <c r="M222" i="5" s="1"/>
  <c r="O222" i="5" s="1"/>
  <c r="AF222" i="5"/>
  <c r="AE230" i="5"/>
  <c r="K230" i="5" s="1"/>
  <c r="L230" i="5" s="1"/>
  <c r="M230" i="5" s="1"/>
  <c r="O230" i="5" s="1"/>
  <c r="AF230" i="5"/>
  <c r="AE238" i="5"/>
  <c r="K238" i="5" s="1"/>
  <c r="L238" i="5" s="1"/>
  <c r="M238" i="5" s="1"/>
  <c r="O238" i="5" s="1"/>
  <c r="AF238" i="5"/>
  <c r="AE246" i="5"/>
  <c r="K246" i="5" s="1"/>
  <c r="L246" i="5" s="1"/>
  <c r="M246" i="5" s="1"/>
  <c r="O246" i="5" s="1"/>
  <c r="AF246" i="5"/>
  <c r="AE261" i="5"/>
  <c r="AF261" i="5"/>
  <c r="AE269" i="5"/>
  <c r="AF269" i="5"/>
  <c r="AE276" i="5"/>
  <c r="AF276" i="5"/>
  <c r="AE291" i="5"/>
  <c r="AF291" i="5"/>
  <c r="AE299" i="5"/>
  <c r="AF299" i="5"/>
  <c r="AE307" i="5"/>
  <c r="AF307" i="5"/>
  <c r="AE137" i="5"/>
  <c r="K137" i="5" s="1"/>
  <c r="L137" i="5" s="1"/>
  <c r="M137" i="5" s="1"/>
  <c r="O137" i="5" s="1"/>
  <c r="AF137" i="5"/>
  <c r="AE145" i="5"/>
  <c r="K145" i="5" s="1"/>
  <c r="L145" i="5" s="1"/>
  <c r="M145" i="5" s="1"/>
  <c r="O145" i="5" s="1"/>
  <c r="AF145" i="5"/>
  <c r="AE153" i="5"/>
  <c r="K153" i="5" s="1"/>
  <c r="L153" i="5" s="1"/>
  <c r="M153" i="5" s="1"/>
  <c r="O153" i="5" s="1"/>
  <c r="AF153" i="5"/>
  <c r="AE161" i="5"/>
  <c r="K161" i="5" s="1"/>
  <c r="L161" i="5" s="1"/>
  <c r="M161" i="5" s="1"/>
  <c r="O161" i="5" s="1"/>
  <c r="AF161" i="5"/>
  <c r="AE168" i="5"/>
  <c r="K168" i="5" s="1"/>
  <c r="L168" i="5" s="1"/>
  <c r="M168" i="5" s="1"/>
  <c r="O168" i="5" s="1"/>
  <c r="AE176" i="5"/>
  <c r="K176" i="5" s="1"/>
  <c r="L176" i="5" s="1"/>
  <c r="M176" i="5" s="1"/>
  <c r="O176" i="5" s="1"/>
  <c r="AF176" i="5"/>
  <c r="AE183" i="5"/>
  <c r="K183" i="5" s="1"/>
  <c r="L183" i="5" s="1"/>
  <c r="M183" i="5" s="1"/>
  <c r="O183" i="5" s="1"/>
  <c r="AF183" i="5"/>
  <c r="AE191" i="5"/>
  <c r="K191" i="5" s="1"/>
  <c r="L191" i="5" s="1"/>
  <c r="M191" i="5" s="1"/>
  <c r="O191" i="5" s="1"/>
  <c r="AF191" i="5"/>
  <c r="AE199" i="5"/>
  <c r="K199" i="5" s="1"/>
  <c r="L199" i="5" s="1"/>
  <c r="M199" i="5" s="1"/>
  <c r="O199" i="5" s="1"/>
  <c r="AF199" i="5"/>
  <c r="AE207" i="5"/>
  <c r="K207" i="5" s="1"/>
  <c r="L207" i="5" s="1"/>
  <c r="M207" i="5" s="1"/>
  <c r="O207" i="5" s="1"/>
  <c r="AF207" i="5"/>
  <c r="AE215" i="5"/>
  <c r="K215" i="5" s="1"/>
  <c r="L215" i="5" s="1"/>
  <c r="M215" i="5" s="1"/>
  <c r="O215" i="5" s="1"/>
  <c r="AF215" i="5"/>
  <c r="AE223" i="5"/>
  <c r="K223" i="5" s="1"/>
  <c r="L223" i="5" s="1"/>
  <c r="M223" i="5" s="1"/>
  <c r="O223" i="5" s="1"/>
  <c r="AF223" i="5"/>
  <c r="AE231" i="5"/>
  <c r="K231" i="5" s="1"/>
  <c r="L231" i="5" s="1"/>
  <c r="M231" i="5" s="1"/>
  <c r="O231" i="5" s="1"/>
  <c r="AF231" i="5"/>
  <c r="AE239" i="5"/>
  <c r="K239" i="5" s="1"/>
  <c r="L239" i="5" s="1"/>
  <c r="M239" i="5" s="1"/>
  <c r="O239" i="5" s="1"/>
  <c r="AF239" i="5"/>
  <c r="AE247" i="5"/>
  <c r="K247" i="5" s="1"/>
  <c r="L247" i="5" s="1"/>
  <c r="M247" i="5" s="1"/>
  <c r="O247" i="5" s="1"/>
  <c r="AF247" i="5"/>
  <c r="AE254" i="5"/>
  <c r="AF254" i="5"/>
  <c r="AE262" i="5"/>
  <c r="AF262" i="5"/>
  <c r="AE270" i="5"/>
  <c r="AF270" i="5"/>
  <c r="AE277" i="5"/>
  <c r="AF277" i="5"/>
  <c r="AE284" i="5"/>
  <c r="AE292" i="5"/>
  <c r="AF292" i="5"/>
  <c r="AE300" i="5"/>
  <c r="AF300" i="5"/>
  <c r="AE308" i="5"/>
  <c r="AF308" i="5"/>
  <c r="AE68" i="5"/>
  <c r="K68" i="5" s="1"/>
  <c r="L68" i="5" s="1"/>
  <c r="M68" i="5" s="1"/>
  <c r="O68" i="5" s="1"/>
  <c r="Y68" i="5" s="1"/>
  <c r="AF68" i="5"/>
  <c r="AE84" i="5"/>
  <c r="K84" i="5" s="1"/>
  <c r="L84" i="5" s="1"/>
  <c r="M84" i="5" s="1"/>
  <c r="O84" i="5" s="1"/>
  <c r="Y84" i="5" s="1"/>
  <c r="AF84" i="5"/>
  <c r="L128" i="3"/>
  <c r="M128" i="3" s="1"/>
  <c r="O128" i="3" s="1"/>
  <c r="Z128" i="3" s="1"/>
  <c r="L148" i="3"/>
  <c r="M148" i="3" s="1"/>
  <c r="O148" i="3" s="1"/>
  <c r="L200" i="3"/>
  <c r="M200" i="3" s="1"/>
  <c r="O200" i="3" s="1"/>
  <c r="L192" i="3"/>
  <c r="M192" i="3" s="1"/>
  <c r="O192" i="3" s="1"/>
  <c r="L147" i="3"/>
  <c r="M147" i="3" s="1"/>
  <c r="O147" i="3" s="1"/>
  <c r="L160" i="3"/>
  <c r="M160" i="3" s="1"/>
  <c r="O160" i="3" s="1"/>
  <c r="L196" i="3"/>
  <c r="M196" i="3" s="1"/>
  <c r="O196" i="3" s="1"/>
  <c r="L224" i="3"/>
  <c r="M224" i="3" s="1"/>
  <c r="O224" i="3" s="1"/>
  <c r="L184" i="3"/>
  <c r="M184" i="3" s="1"/>
  <c r="O184" i="3" s="1"/>
  <c r="L216" i="3"/>
  <c r="M216" i="3" s="1"/>
  <c r="O216" i="3" s="1"/>
  <c r="L179" i="3"/>
  <c r="M179" i="3" s="1"/>
  <c r="O179" i="3" s="1"/>
  <c r="AE100" i="5"/>
  <c r="K100" i="5" s="1"/>
  <c r="L100" i="5" s="1"/>
  <c r="M100" i="5" s="1"/>
  <c r="O100" i="5" s="1"/>
  <c r="Y100" i="5" s="1"/>
  <c r="AF100" i="5"/>
  <c r="AE124" i="5"/>
  <c r="K124" i="5" s="1"/>
  <c r="L124" i="5" s="1"/>
  <c r="M124" i="5" s="1"/>
  <c r="O124" i="5" s="1"/>
  <c r="Y124" i="5" s="1"/>
  <c r="AF124" i="5"/>
  <c r="AE23" i="5"/>
  <c r="K23" i="5" s="1"/>
  <c r="L23" i="5" s="1"/>
  <c r="M23" i="5" s="1"/>
  <c r="O23" i="5" s="1"/>
  <c r="Y23" i="5" s="1"/>
  <c r="AF23" i="5"/>
  <c r="AE61" i="5"/>
  <c r="K61" i="5" s="1"/>
  <c r="L61" i="5" s="1"/>
  <c r="M61" i="5" s="1"/>
  <c r="O61" i="5" s="1"/>
  <c r="Y61" i="5" s="1"/>
  <c r="AF61" i="5"/>
  <c r="AE69" i="5"/>
  <c r="K69" i="5" s="1"/>
  <c r="L69" i="5" s="1"/>
  <c r="M69" i="5" s="1"/>
  <c r="O69" i="5" s="1"/>
  <c r="Y69" i="5" s="1"/>
  <c r="AF69" i="5"/>
  <c r="AE109" i="5"/>
  <c r="K109" i="5" s="1"/>
  <c r="L109" i="5" s="1"/>
  <c r="M109" i="5" s="1"/>
  <c r="O109" i="5" s="1"/>
  <c r="Y109" i="5" s="1"/>
  <c r="AF109" i="5"/>
  <c r="AE54" i="5"/>
  <c r="K54" i="5" s="1"/>
  <c r="L54" i="5" s="1"/>
  <c r="M54" i="5" s="1"/>
  <c r="O54" i="5" s="1"/>
  <c r="Y54" i="5" s="1"/>
  <c r="AE62" i="5"/>
  <c r="K62" i="5" s="1"/>
  <c r="L62" i="5" s="1"/>
  <c r="M62" i="5" s="1"/>
  <c r="O62" i="5" s="1"/>
  <c r="Y62" i="5" s="1"/>
  <c r="AF62" i="5"/>
  <c r="AE70" i="5"/>
  <c r="K70" i="5" s="1"/>
  <c r="L70" i="5" s="1"/>
  <c r="M70" i="5" s="1"/>
  <c r="O70" i="5" s="1"/>
  <c r="Y70" i="5" s="1"/>
  <c r="AF70" i="5"/>
  <c r="AE86" i="5"/>
  <c r="K86" i="5" s="1"/>
  <c r="L86" i="5" s="1"/>
  <c r="M86" i="5" s="1"/>
  <c r="O86" i="5" s="1"/>
  <c r="Y86" i="5" s="1"/>
  <c r="AF86" i="5"/>
  <c r="AE94" i="5"/>
  <c r="K94" i="5" s="1"/>
  <c r="L94" i="5" s="1"/>
  <c r="M94" i="5" s="1"/>
  <c r="O94" i="5" s="1"/>
  <c r="Y94" i="5" s="1"/>
  <c r="AF94" i="5"/>
  <c r="AE102" i="5"/>
  <c r="K102" i="5" s="1"/>
  <c r="L102" i="5" s="1"/>
  <c r="M102" i="5" s="1"/>
  <c r="O102" i="5" s="1"/>
  <c r="Y102" i="5" s="1"/>
  <c r="AF102" i="5"/>
  <c r="AE110" i="5"/>
  <c r="K110" i="5" s="1"/>
  <c r="L110" i="5" s="1"/>
  <c r="M110" i="5" s="1"/>
  <c r="O110" i="5" s="1"/>
  <c r="Y110" i="5" s="1"/>
  <c r="AF110" i="5"/>
  <c r="AE118" i="5"/>
  <c r="K118" i="5" s="1"/>
  <c r="L118" i="5" s="1"/>
  <c r="M118" i="5" s="1"/>
  <c r="O118" i="5" s="1"/>
  <c r="Y118" i="5" s="1"/>
  <c r="AF118" i="5"/>
  <c r="AE126" i="5"/>
  <c r="K126" i="5" s="1"/>
  <c r="L126" i="5" s="1"/>
  <c r="M126" i="5" s="1"/>
  <c r="O126" i="5" s="1"/>
  <c r="Y126" i="5" s="1"/>
  <c r="AF126" i="5"/>
  <c r="AE134" i="5"/>
  <c r="K134" i="5" s="1"/>
  <c r="L134" i="5" s="1"/>
  <c r="M134" i="5" s="1"/>
  <c r="O134" i="5" s="1"/>
  <c r="AF134" i="5"/>
  <c r="AE101" i="5"/>
  <c r="K101" i="5" s="1"/>
  <c r="L101" i="5" s="1"/>
  <c r="M101" i="5" s="1"/>
  <c r="O101" i="5" s="1"/>
  <c r="Y101" i="5" s="1"/>
  <c r="AF101" i="5"/>
  <c r="AE39" i="5"/>
  <c r="K39" i="5" s="1"/>
  <c r="L39" i="5" s="1"/>
  <c r="M39" i="5" s="1"/>
  <c r="O39" i="5" s="1"/>
  <c r="Y39" i="5" s="1"/>
  <c r="AF39" i="5"/>
  <c r="AE17" i="5"/>
  <c r="K17" i="5" s="1"/>
  <c r="L17" i="5" s="1"/>
  <c r="M17" i="5" s="1"/>
  <c r="O17" i="5" s="1"/>
  <c r="Y17" i="5" s="1"/>
  <c r="AF17" i="5"/>
  <c r="AE25" i="5"/>
  <c r="K25" i="5" s="1"/>
  <c r="L25" i="5" s="1"/>
  <c r="M25" i="5" s="1"/>
  <c r="O25" i="5" s="1"/>
  <c r="Y25" i="5" s="1"/>
  <c r="AF25" i="5"/>
  <c r="AE32" i="5"/>
  <c r="K32" i="5" s="1"/>
  <c r="L32" i="5" s="1"/>
  <c r="M32" i="5" s="1"/>
  <c r="O32" i="5" s="1"/>
  <c r="Y32" i="5" s="1"/>
  <c r="AF32" i="5"/>
  <c r="AE40" i="5"/>
  <c r="K40" i="5" s="1"/>
  <c r="L40" i="5" s="1"/>
  <c r="M40" i="5" s="1"/>
  <c r="O40" i="5" s="1"/>
  <c r="Y40" i="5" s="1"/>
  <c r="AF40" i="5"/>
  <c r="AE48" i="5"/>
  <c r="K48" i="5" s="1"/>
  <c r="L48" i="5" s="1"/>
  <c r="M48" i="5" s="1"/>
  <c r="O48" i="5" s="1"/>
  <c r="Y48" i="5" s="1"/>
  <c r="AF48" i="5"/>
  <c r="AE55" i="5"/>
  <c r="K55" i="5" s="1"/>
  <c r="L55" i="5" s="1"/>
  <c r="M55" i="5" s="1"/>
  <c r="O55" i="5" s="1"/>
  <c r="Y55" i="5" s="1"/>
  <c r="AF55" i="5"/>
  <c r="AE63" i="5"/>
  <c r="K63" i="5" s="1"/>
  <c r="L63" i="5" s="1"/>
  <c r="M63" i="5" s="1"/>
  <c r="O63" i="5" s="1"/>
  <c r="Y63" i="5" s="1"/>
  <c r="AF63" i="5"/>
  <c r="AE71" i="5"/>
  <c r="K71" i="5" s="1"/>
  <c r="L71" i="5" s="1"/>
  <c r="M71" i="5" s="1"/>
  <c r="O71" i="5" s="1"/>
  <c r="Y71" i="5" s="1"/>
  <c r="AF71" i="5"/>
  <c r="AE79" i="5"/>
  <c r="K79" i="5" s="1"/>
  <c r="L79" i="5" s="1"/>
  <c r="M79" i="5" s="1"/>
  <c r="O79" i="5" s="1"/>
  <c r="Y79" i="5" s="1"/>
  <c r="AF79" i="5"/>
  <c r="AE87" i="5"/>
  <c r="K87" i="5" s="1"/>
  <c r="L87" i="5" s="1"/>
  <c r="M87" i="5" s="1"/>
  <c r="O87" i="5" s="1"/>
  <c r="Y87" i="5" s="1"/>
  <c r="AF87" i="5"/>
  <c r="AE95" i="5"/>
  <c r="K95" i="5" s="1"/>
  <c r="L95" i="5" s="1"/>
  <c r="M95" i="5" s="1"/>
  <c r="O95" i="5" s="1"/>
  <c r="Y95" i="5" s="1"/>
  <c r="AF95" i="5"/>
  <c r="AE103" i="5"/>
  <c r="K103" i="5" s="1"/>
  <c r="L103" i="5" s="1"/>
  <c r="M103" i="5" s="1"/>
  <c r="O103" i="5" s="1"/>
  <c r="Y103" i="5" s="1"/>
  <c r="AF103" i="5"/>
  <c r="AE111" i="5"/>
  <c r="K111" i="5" s="1"/>
  <c r="L111" i="5" s="1"/>
  <c r="M111" i="5" s="1"/>
  <c r="O111" i="5" s="1"/>
  <c r="Y111" i="5" s="1"/>
  <c r="AF111" i="5"/>
  <c r="AE119" i="5"/>
  <c r="AF119" i="5"/>
  <c r="AE127" i="5"/>
  <c r="K127" i="5" s="1"/>
  <c r="L127" i="5" s="1"/>
  <c r="M127" i="5" s="1"/>
  <c r="O127" i="5" s="1"/>
  <c r="Y127" i="5" s="1"/>
  <c r="AF127" i="5"/>
  <c r="AE135" i="5"/>
  <c r="K135" i="5" s="1"/>
  <c r="L135" i="5" s="1"/>
  <c r="M135" i="5" s="1"/>
  <c r="O135" i="5" s="1"/>
  <c r="AF135" i="5"/>
  <c r="AE14" i="5"/>
  <c r="K14" i="5" s="1"/>
  <c r="L14" i="5" s="1"/>
  <c r="M14" i="5" s="1"/>
  <c r="O14" i="5" s="1"/>
  <c r="Y14" i="5" s="1"/>
  <c r="AF14" i="5"/>
  <c r="AE30" i="5"/>
  <c r="K30" i="5" s="1"/>
  <c r="L30" i="5" s="1"/>
  <c r="M30" i="5" s="1"/>
  <c r="O30" i="5" s="1"/>
  <c r="Y30" i="5" s="1"/>
  <c r="AF30" i="5"/>
  <c r="AE76" i="5"/>
  <c r="K76" i="5" s="1"/>
  <c r="L76" i="5" s="1"/>
  <c r="M76" i="5" s="1"/>
  <c r="O76" i="5" s="1"/>
  <c r="Y76" i="5" s="1"/>
  <c r="AF76" i="5"/>
  <c r="AE18" i="5"/>
  <c r="K18" i="5" s="1"/>
  <c r="L18" i="5" s="1"/>
  <c r="M18" i="5" s="1"/>
  <c r="O18" i="5" s="1"/>
  <c r="Y18" i="5" s="1"/>
  <c r="AF18" i="5"/>
  <c r="AE26" i="5"/>
  <c r="K26" i="5" s="1"/>
  <c r="L26" i="5" s="1"/>
  <c r="M26" i="5" s="1"/>
  <c r="O26" i="5" s="1"/>
  <c r="Y26" i="5" s="1"/>
  <c r="AF26" i="5"/>
  <c r="AE33" i="5"/>
  <c r="K33" i="5" s="1"/>
  <c r="L33" i="5" s="1"/>
  <c r="M33" i="5" s="1"/>
  <c r="O33" i="5" s="1"/>
  <c r="Y33" i="5" s="1"/>
  <c r="AF33" i="5"/>
  <c r="AE41" i="5"/>
  <c r="K41" i="5" s="1"/>
  <c r="L41" i="5" s="1"/>
  <c r="M41" i="5" s="1"/>
  <c r="O41" i="5" s="1"/>
  <c r="Y41" i="5" s="1"/>
  <c r="AF41" i="5"/>
  <c r="AE49" i="5"/>
  <c r="K49" i="5" s="1"/>
  <c r="L49" i="5" s="1"/>
  <c r="M49" i="5" s="1"/>
  <c r="O49" i="5" s="1"/>
  <c r="Y49" i="5" s="1"/>
  <c r="AF49" i="5"/>
  <c r="AE56" i="5"/>
  <c r="K56" i="5" s="1"/>
  <c r="L56" i="5" s="1"/>
  <c r="M56" i="5" s="1"/>
  <c r="O56" i="5" s="1"/>
  <c r="Y56" i="5" s="1"/>
  <c r="AF56" i="5"/>
  <c r="AE64" i="5"/>
  <c r="K64" i="5" s="1"/>
  <c r="L64" i="5" s="1"/>
  <c r="M64" i="5" s="1"/>
  <c r="O64" i="5" s="1"/>
  <c r="Y64" i="5" s="1"/>
  <c r="AF64" i="5"/>
  <c r="AE72" i="5"/>
  <c r="K72" i="5" s="1"/>
  <c r="L72" i="5" s="1"/>
  <c r="M72" i="5" s="1"/>
  <c r="O72" i="5" s="1"/>
  <c r="Y72" i="5" s="1"/>
  <c r="AF72" i="5"/>
  <c r="AE80" i="5"/>
  <c r="K80" i="5" s="1"/>
  <c r="L80" i="5" s="1"/>
  <c r="M80" i="5" s="1"/>
  <c r="O80" i="5" s="1"/>
  <c r="Y80" i="5" s="1"/>
  <c r="AF80" i="5"/>
  <c r="AE88" i="5"/>
  <c r="K88" i="5" s="1"/>
  <c r="L88" i="5" s="1"/>
  <c r="M88" i="5" s="1"/>
  <c r="O88" i="5" s="1"/>
  <c r="Y88" i="5" s="1"/>
  <c r="AF88" i="5"/>
  <c r="AE96" i="5"/>
  <c r="K96" i="5" s="1"/>
  <c r="L96" i="5" s="1"/>
  <c r="M96" i="5" s="1"/>
  <c r="O96" i="5" s="1"/>
  <c r="Y96" i="5" s="1"/>
  <c r="AF96" i="5"/>
  <c r="AE104" i="5"/>
  <c r="K104" i="5" s="1"/>
  <c r="L104" i="5" s="1"/>
  <c r="M104" i="5" s="1"/>
  <c r="O104" i="5" s="1"/>
  <c r="Y104" i="5" s="1"/>
  <c r="AF104" i="5"/>
  <c r="AE112" i="5"/>
  <c r="K112" i="5" s="1"/>
  <c r="L112" i="5" s="1"/>
  <c r="M112" i="5" s="1"/>
  <c r="O112" i="5" s="1"/>
  <c r="Y112" i="5" s="1"/>
  <c r="AF112" i="5"/>
  <c r="AE120" i="5"/>
  <c r="K120" i="5" s="1"/>
  <c r="L120" i="5" s="1"/>
  <c r="M120" i="5" s="1"/>
  <c r="O120" i="5" s="1"/>
  <c r="Y120" i="5" s="1"/>
  <c r="AF120" i="5"/>
  <c r="AE128" i="5"/>
  <c r="K128" i="5" s="1"/>
  <c r="L128" i="5" s="1"/>
  <c r="M128" i="5" s="1"/>
  <c r="O128" i="5" s="1"/>
  <c r="Y128" i="5" s="1"/>
  <c r="AF128" i="5"/>
  <c r="AE136" i="5"/>
  <c r="K136" i="5" s="1"/>
  <c r="L136" i="5" s="1"/>
  <c r="M136" i="5" s="1"/>
  <c r="O136" i="5" s="1"/>
  <c r="AF136" i="5"/>
  <c r="AE85" i="5"/>
  <c r="K85" i="5" s="1"/>
  <c r="L85" i="5" s="1"/>
  <c r="M85" i="5" s="1"/>
  <c r="O85" i="5" s="1"/>
  <c r="Y85" i="5" s="1"/>
  <c r="AF85" i="5"/>
  <c r="K125" i="5"/>
  <c r="L125" i="5" s="1"/>
  <c r="M125" i="5" s="1"/>
  <c r="O125" i="5" s="1"/>
  <c r="Y125" i="5" s="1"/>
  <c r="AF125" i="5"/>
  <c r="AE31" i="5"/>
  <c r="K31" i="5" s="1"/>
  <c r="L31" i="5" s="1"/>
  <c r="M31" i="5" s="1"/>
  <c r="O31" i="5" s="1"/>
  <c r="Y31" i="5" s="1"/>
  <c r="AE11" i="5"/>
  <c r="AF11" i="5"/>
  <c r="AE19" i="5"/>
  <c r="K19" i="5" s="1"/>
  <c r="L19" i="5" s="1"/>
  <c r="M19" i="5" s="1"/>
  <c r="O19" i="5" s="1"/>
  <c r="Y19" i="5" s="1"/>
  <c r="AF19" i="5"/>
  <c r="AE34" i="5"/>
  <c r="K34" i="5" s="1"/>
  <c r="L34" i="5" s="1"/>
  <c r="M34" i="5" s="1"/>
  <c r="O34" i="5" s="1"/>
  <c r="Y34" i="5" s="1"/>
  <c r="AF34" i="5"/>
  <c r="AE42" i="5"/>
  <c r="K42" i="5" s="1"/>
  <c r="L42" i="5" s="1"/>
  <c r="M42" i="5" s="1"/>
  <c r="O42" i="5" s="1"/>
  <c r="Y42" i="5" s="1"/>
  <c r="AF42" i="5"/>
  <c r="AE50" i="5"/>
  <c r="K50" i="5" s="1"/>
  <c r="L50" i="5" s="1"/>
  <c r="M50" i="5" s="1"/>
  <c r="O50" i="5" s="1"/>
  <c r="Y50" i="5" s="1"/>
  <c r="AF50" i="5"/>
  <c r="AE57" i="5"/>
  <c r="K57" i="5" s="1"/>
  <c r="L57" i="5" s="1"/>
  <c r="M57" i="5" s="1"/>
  <c r="O57" i="5" s="1"/>
  <c r="Y57" i="5" s="1"/>
  <c r="AF57" i="5"/>
  <c r="AE65" i="5"/>
  <c r="K65" i="5" s="1"/>
  <c r="L65" i="5" s="1"/>
  <c r="M65" i="5" s="1"/>
  <c r="O65" i="5" s="1"/>
  <c r="Y65" i="5" s="1"/>
  <c r="AF65" i="5"/>
  <c r="AE73" i="5"/>
  <c r="K73" i="5" s="1"/>
  <c r="L73" i="5" s="1"/>
  <c r="M73" i="5" s="1"/>
  <c r="O73" i="5" s="1"/>
  <c r="Y73" i="5" s="1"/>
  <c r="AF73" i="5"/>
  <c r="AE81" i="5"/>
  <c r="K81" i="5" s="1"/>
  <c r="L81" i="5" s="1"/>
  <c r="M81" i="5" s="1"/>
  <c r="O81" i="5" s="1"/>
  <c r="Y81" i="5" s="1"/>
  <c r="AF81" i="5"/>
  <c r="AE89" i="5"/>
  <c r="K89" i="5" s="1"/>
  <c r="L89" i="5" s="1"/>
  <c r="M89" i="5" s="1"/>
  <c r="O89" i="5" s="1"/>
  <c r="Y89" i="5" s="1"/>
  <c r="AF89" i="5"/>
  <c r="AE97" i="5"/>
  <c r="K97" i="5" s="1"/>
  <c r="L97" i="5" s="1"/>
  <c r="M97" i="5" s="1"/>
  <c r="O97" i="5" s="1"/>
  <c r="Y97" i="5" s="1"/>
  <c r="AF97" i="5"/>
  <c r="AE105" i="5"/>
  <c r="K105" i="5" s="1"/>
  <c r="L105" i="5" s="1"/>
  <c r="M105" i="5" s="1"/>
  <c r="O105" i="5" s="1"/>
  <c r="Y105" i="5" s="1"/>
  <c r="AF105" i="5"/>
  <c r="AE113" i="5"/>
  <c r="K113" i="5" s="1"/>
  <c r="L113" i="5" s="1"/>
  <c r="M113" i="5" s="1"/>
  <c r="O113" i="5" s="1"/>
  <c r="Y113" i="5" s="1"/>
  <c r="AF113" i="5"/>
  <c r="K121" i="5"/>
  <c r="L121" i="5" s="1"/>
  <c r="M121" i="5" s="1"/>
  <c r="O121" i="5" s="1"/>
  <c r="Y121" i="5" s="1"/>
  <c r="AF121" i="5"/>
  <c r="AE129" i="5"/>
  <c r="K129" i="5" s="1"/>
  <c r="L129" i="5" s="1"/>
  <c r="M129" i="5" s="1"/>
  <c r="O129" i="5" s="1"/>
  <c r="Y129" i="5" s="1"/>
  <c r="AF129" i="5"/>
  <c r="AE108" i="5"/>
  <c r="K108" i="5" s="1"/>
  <c r="L108" i="5" s="1"/>
  <c r="M108" i="5" s="1"/>
  <c r="O108" i="5" s="1"/>
  <c r="Y108" i="5" s="1"/>
  <c r="AF108" i="5"/>
  <c r="AE132" i="5"/>
  <c r="K132" i="5" s="1"/>
  <c r="L132" i="5" s="1"/>
  <c r="M132" i="5" s="1"/>
  <c r="O132" i="5" s="1"/>
  <c r="AF132" i="5"/>
  <c r="AE38" i="5"/>
  <c r="K38" i="5" s="1"/>
  <c r="L38" i="5" s="1"/>
  <c r="M38" i="5" s="1"/>
  <c r="O38" i="5" s="1"/>
  <c r="Y38" i="5" s="1"/>
  <c r="AF38" i="5"/>
  <c r="AE93" i="5"/>
  <c r="K93" i="5" s="1"/>
  <c r="L93" i="5" s="1"/>
  <c r="M93" i="5" s="1"/>
  <c r="O93" i="5" s="1"/>
  <c r="Y93" i="5" s="1"/>
  <c r="AF93" i="5"/>
  <c r="AE133" i="5"/>
  <c r="K133" i="5" s="1"/>
  <c r="L133" i="5" s="1"/>
  <c r="M133" i="5" s="1"/>
  <c r="O133" i="5" s="1"/>
  <c r="AF133" i="5"/>
  <c r="AE47" i="5"/>
  <c r="K47" i="5" s="1"/>
  <c r="L47" i="5" s="1"/>
  <c r="M47" i="5" s="1"/>
  <c r="O47" i="5" s="1"/>
  <c r="Y47" i="5" s="1"/>
  <c r="AF47" i="5"/>
  <c r="AE12" i="5"/>
  <c r="K12" i="5" s="1"/>
  <c r="L12" i="5" s="1"/>
  <c r="M12" i="5" s="1"/>
  <c r="O12" i="5" s="1"/>
  <c r="Y12" i="5" s="1"/>
  <c r="AF12" i="5"/>
  <c r="AE20" i="5"/>
  <c r="K20" i="5" s="1"/>
  <c r="L20" i="5" s="1"/>
  <c r="M20" i="5" s="1"/>
  <c r="O20" i="5" s="1"/>
  <c r="Y20" i="5" s="1"/>
  <c r="AF20" i="5"/>
  <c r="AE28" i="5"/>
  <c r="K28" i="5" s="1"/>
  <c r="L28" i="5" s="1"/>
  <c r="M28" i="5" s="1"/>
  <c r="AF28" i="5"/>
  <c r="AE35" i="5"/>
  <c r="K35" i="5" s="1"/>
  <c r="L35" i="5" s="1"/>
  <c r="M35" i="5" s="1"/>
  <c r="O35" i="5" s="1"/>
  <c r="Y35" i="5" s="1"/>
  <c r="AF35" i="5"/>
  <c r="AE43" i="5"/>
  <c r="K43" i="5" s="1"/>
  <c r="L43" i="5" s="1"/>
  <c r="M43" i="5" s="1"/>
  <c r="O43" i="5" s="1"/>
  <c r="Y43" i="5" s="1"/>
  <c r="AF43" i="5"/>
  <c r="AE51" i="5"/>
  <c r="K51" i="5" s="1"/>
  <c r="L51" i="5" s="1"/>
  <c r="M51" i="5" s="1"/>
  <c r="O51" i="5" s="1"/>
  <c r="Y51" i="5" s="1"/>
  <c r="AF51" i="5"/>
  <c r="AE58" i="5"/>
  <c r="K58" i="5" s="1"/>
  <c r="L58" i="5" s="1"/>
  <c r="M58" i="5" s="1"/>
  <c r="O58" i="5" s="1"/>
  <c r="Y58" i="5" s="1"/>
  <c r="AF58" i="5"/>
  <c r="AE66" i="5"/>
  <c r="K66" i="5" s="1"/>
  <c r="L66" i="5" s="1"/>
  <c r="M66" i="5" s="1"/>
  <c r="O66" i="5" s="1"/>
  <c r="Y66" i="5" s="1"/>
  <c r="AF66" i="5"/>
  <c r="AE74" i="5"/>
  <c r="K74" i="5" s="1"/>
  <c r="L74" i="5" s="1"/>
  <c r="M74" i="5" s="1"/>
  <c r="O74" i="5" s="1"/>
  <c r="Y74" i="5" s="1"/>
  <c r="AF74" i="5"/>
  <c r="AE82" i="5"/>
  <c r="K82" i="5" s="1"/>
  <c r="L82" i="5" s="1"/>
  <c r="M82" i="5" s="1"/>
  <c r="O82" i="5" s="1"/>
  <c r="Y82" i="5" s="1"/>
  <c r="AF82" i="5"/>
  <c r="AE90" i="5"/>
  <c r="K90" i="5" s="1"/>
  <c r="L90" i="5" s="1"/>
  <c r="M90" i="5" s="1"/>
  <c r="O90" i="5" s="1"/>
  <c r="Y90" i="5" s="1"/>
  <c r="AF90" i="5"/>
  <c r="AE98" i="5"/>
  <c r="K98" i="5" s="1"/>
  <c r="L98" i="5" s="1"/>
  <c r="M98" i="5" s="1"/>
  <c r="O98" i="5" s="1"/>
  <c r="Y98" i="5" s="1"/>
  <c r="AF98" i="5"/>
  <c r="AE106" i="5"/>
  <c r="K106" i="5" s="1"/>
  <c r="L106" i="5" s="1"/>
  <c r="M106" i="5" s="1"/>
  <c r="O106" i="5" s="1"/>
  <c r="Y106" i="5" s="1"/>
  <c r="AF106" i="5"/>
  <c r="AE114" i="5"/>
  <c r="K114" i="5" s="1"/>
  <c r="L114" i="5" s="1"/>
  <c r="M114" i="5" s="1"/>
  <c r="O114" i="5" s="1"/>
  <c r="Y114" i="5" s="1"/>
  <c r="AF114" i="5"/>
  <c r="K122" i="5"/>
  <c r="L122" i="5" s="1"/>
  <c r="M122" i="5" s="1"/>
  <c r="O122" i="5" s="1"/>
  <c r="Y122" i="5" s="1"/>
  <c r="AF122" i="5"/>
  <c r="AE130" i="5"/>
  <c r="K130" i="5" s="1"/>
  <c r="L130" i="5" s="1"/>
  <c r="M130" i="5" s="1"/>
  <c r="O130" i="5" s="1"/>
  <c r="AF130" i="5"/>
  <c r="AE22" i="5"/>
  <c r="K22" i="5" s="1"/>
  <c r="L22" i="5" s="1"/>
  <c r="M22" i="5" s="1"/>
  <c r="O22" i="5" s="1"/>
  <c r="Y22" i="5" s="1"/>
  <c r="AF22" i="5"/>
  <c r="AE37" i="5"/>
  <c r="K37" i="5" s="1"/>
  <c r="L37" i="5" s="1"/>
  <c r="M37" i="5" s="1"/>
  <c r="O37" i="5" s="1"/>
  <c r="Y37" i="5" s="1"/>
  <c r="AF37" i="5"/>
  <c r="AE45" i="5"/>
  <c r="K45" i="5" s="1"/>
  <c r="L45" i="5" s="1"/>
  <c r="M45" i="5" s="1"/>
  <c r="O45" i="5" s="1"/>
  <c r="Y45" i="5" s="1"/>
  <c r="AF45" i="5"/>
  <c r="AE53" i="5"/>
  <c r="K53" i="5" s="1"/>
  <c r="L53" i="5" s="1"/>
  <c r="M53" i="5" s="1"/>
  <c r="O53" i="5" s="1"/>
  <c r="Y53" i="5" s="1"/>
  <c r="AF53" i="5"/>
  <c r="AE60" i="5"/>
  <c r="K60" i="5" s="1"/>
  <c r="L60" i="5" s="1"/>
  <c r="M60" i="5" s="1"/>
  <c r="O60" i="5" s="1"/>
  <c r="Y60" i="5" s="1"/>
  <c r="AF60" i="5"/>
  <c r="AE92" i="5"/>
  <c r="K92" i="5" s="1"/>
  <c r="L92" i="5" s="1"/>
  <c r="M92" i="5" s="1"/>
  <c r="O92" i="5" s="1"/>
  <c r="Y92" i="5" s="1"/>
  <c r="AF92" i="5"/>
  <c r="AE116" i="5"/>
  <c r="K116" i="5" s="1"/>
  <c r="L116" i="5" s="1"/>
  <c r="M116" i="5" s="1"/>
  <c r="O116" i="5" s="1"/>
  <c r="Y116" i="5" s="1"/>
  <c r="AF116" i="5"/>
  <c r="AE15" i="5"/>
  <c r="K15" i="5" s="1"/>
  <c r="L15" i="5" s="1"/>
  <c r="M15" i="5" s="1"/>
  <c r="O15" i="5" s="1"/>
  <c r="Y15" i="5" s="1"/>
  <c r="AF15" i="5"/>
  <c r="AE46" i="5"/>
  <c r="K46" i="5" s="1"/>
  <c r="L46" i="5" s="1"/>
  <c r="M46" i="5" s="1"/>
  <c r="O46" i="5" s="1"/>
  <c r="Y46" i="5" s="1"/>
  <c r="AF46" i="5"/>
  <c r="AE77" i="5"/>
  <c r="K77" i="5" s="1"/>
  <c r="L77" i="5" s="1"/>
  <c r="M77" i="5" s="1"/>
  <c r="O77" i="5" s="1"/>
  <c r="Y77" i="5" s="1"/>
  <c r="AF77" i="5"/>
  <c r="AE117" i="5"/>
  <c r="K117" i="5" s="1"/>
  <c r="L117" i="5" s="1"/>
  <c r="M117" i="5" s="1"/>
  <c r="O117" i="5" s="1"/>
  <c r="Y117" i="5" s="1"/>
  <c r="AF117" i="5"/>
  <c r="AE16" i="5"/>
  <c r="K16" i="5" s="1"/>
  <c r="L16" i="5" s="1"/>
  <c r="M16" i="5" s="1"/>
  <c r="O16" i="5" s="1"/>
  <c r="Y16" i="5" s="1"/>
  <c r="AF16" i="5"/>
  <c r="AE13" i="5"/>
  <c r="K13" i="5" s="1"/>
  <c r="L13" i="5" s="1"/>
  <c r="M13" i="5" s="1"/>
  <c r="O13" i="5" s="1"/>
  <c r="Y13" i="5" s="1"/>
  <c r="AF13" i="5"/>
  <c r="AE21" i="5"/>
  <c r="K21" i="5" s="1"/>
  <c r="L21" i="5" s="1"/>
  <c r="M21" i="5" s="1"/>
  <c r="O21" i="5" s="1"/>
  <c r="Y21" i="5" s="1"/>
  <c r="AF21" i="5"/>
  <c r="AE29" i="5"/>
  <c r="K29" i="5" s="1"/>
  <c r="L29" i="5" s="1"/>
  <c r="M29" i="5" s="1"/>
  <c r="AF29" i="5"/>
  <c r="AE36" i="5"/>
  <c r="K36" i="5" s="1"/>
  <c r="L36" i="5" s="1"/>
  <c r="M36" i="5" s="1"/>
  <c r="O36" i="5" s="1"/>
  <c r="Y36" i="5" s="1"/>
  <c r="AF36" i="5"/>
  <c r="AE44" i="5"/>
  <c r="K44" i="5" s="1"/>
  <c r="L44" i="5" s="1"/>
  <c r="M44" i="5" s="1"/>
  <c r="O44" i="5" s="1"/>
  <c r="Y44" i="5" s="1"/>
  <c r="AF44" i="5"/>
  <c r="AE52" i="5"/>
  <c r="K52" i="5" s="1"/>
  <c r="L52" i="5" s="1"/>
  <c r="M52" i="5" s="1"/>
  <c r="O52" i="5" s="1"/>
  <c r="Y52" i="5" s="1"/>
  <c r="AF52" i="5"/>
  <c r="AE59" i="5"/>
  <c r="K59" i="5" s="1"/>
  <c r="L59" i="5" s="1"/>
  <c r="M59" i="5" s="1"/>
  <c r="O59" i="5" s="1"/>
  <c r="Y59" i="5" s="1"/>
  <c r="AF59" i="5"/>
  <c r="AE67" i="5"/>
  <c r="K67" i="5" s="1"/>
  <c r="L67" i="5" s="1"/>
  <c r="M67" i="5" s="1"/>
  <c r="O67" i="5" s="1"/>
  <c r="Y67" i="5" s="1"/>
  <c r="AF67" i="5"/>
  <c r="AE75" i="5"/>
  <c r="K75" i="5" s="1"/>
  <c r="L75" i="5" s="1"/>
  <c r="M75" i="5" s="1"/>
  <c r="O75" i="5" s="1"/>
  <c r="Y75" i="5" s="1"/>
  <c r="AF75" i="5"/>
  <c r="AE83" i="5"/>
  <c r="K83" i="5" s="1"/>
  <c r="L83" i="5" s="1"/>
  <c r="M83" i="5" s="1"/>
  <c r="O83" i="5" s="1"/>
  <c r="Y83" i="5" s="1"/>
  <c r="AF83" i="5"/>
  <c r="AE91" i="5"/>
  <c r="K91" i="5" s="1"/>
  <c r="L91" i="5" s="1"/>
  <c r="M91" i="5" s="1"/>
  <c r="O91" i="5" s="1"/>
  <c r="Y91" i="5" s="1"/>
  <c r="AF91" i="5"/>
  <c r="AE99" i="5"/>
  <c r="K99" i="5" s="1"/>
  <c r="L99" i="5" s="1"/>
  <c r="M99" i="5" s="1"/>
  <c r="O99" i="5" s="1"/>
  <c r="Y99" i="5" s="1"/>
  <c r="AF99" i="5"/>
  <c r="AE107" i="5"/>
  <c r="K107" i="5" s="1"/>
  <c r="L107" i="5" s="1"/>
  <c r="M107" i="5" s="1"/>
  <c r="O107" i="5" s="1"/>
  <c r="Y107" i="5" s="1"/>
  <c r="AF107" i="5"/>
  <c r="AE115" i="5"/>
  <c r="K115" i="5" s="1"/>
  <c r="L115" i="5" s="1"/>
  <c r="M115" i="5" s="1"/>
  <c r="O115" i="5" s="1"/>
  <c r="Y115" i="5" s="1"/>
  <c r="AF115" i="5"/>
  <c r="AE123" i="5"/>
  <c r="K123" i="5" s="1"/>
  <c r="L123" i="5" s="1"/>
  <c r="M123" i="5" s="1"/>
  <c r="O123" i="5" s="1"/>
  <c r="Y123" i="5" s="1"/>
  <c r="AF123" i="5"/>
  <c r="AE131" i="5"/>
  <c r="K131" i="5" s="1"/>
  <c r="L131" i="5" s="1"/>
  <c r="M131" i="5" s="1"/>
  <c r="O131" i="5" s="1"/>
  <c r="AF131" i="5"/>
  <c r="L251" i="3"/>
  <c r="M251" i="3" s="1"/>
  <c r="O251" i="3" s="1"/>
  <c r="L204" i="3"/>
  <c r="M204" i="3" s="1"/>
  <c r="O204" i="3" s="1"/>
  <c r="L172" i="3"/>
  <c r="M172" i="3" s="1"/>
  <c r="O172" i="3" s="1"/>
  <c r="L136" i="3"/>
  <c r="M136" i="3" s="1"/>
  <c r="O136" i="3" s="1"/>
  <c r="Z136" i="3" s="1"/>
  <c r="L227" i="3"/>
  <c r="M227" i="3" s="1"/>
  <c r="O227" i="3" s="1"/>
  <c r="L208" i="3"/>
  <c r="M208" i="3" s="1"/>
  <c r="O208" i="3" s="1"/>
  <c r="L176" i="3"/>
  <c r="M176" i="3" s="1"/>
  <c r="O176" i="3" s="1"/>
  <c r="L240" i="3"/>
  <c r="M240" i="3" s="1"/>
  <c r="O240" i="3" s="1"/>
  <c r="L220" i="3"/>
  <c r="M220" i="3" s="1"/>
  <c r="O220" i="3" s="1"/>
  <c r="L188" i="3"/>
  <c r="M188" i="3" s="1"/>
  <c r="O188" i="3" s="1"/>
  <c r="L232" i="3"/>
  <c r="M232" i="3" s="1"/>
  <c r="O232" i="3" s="1"/>
  <c r="L212" i="3"/>
  <c r="M212" i="3" s="1"/>
  <c r="O212" i="3" s="1"/>
  <c r="L76" i="3"/>
  <c r="M76" i="3" s="1"/>
  <c r="AI273" i="3"/>
  <c r="AI257" i="3"/>
  <c r="L245" i="3"/>
  <c r="M245" i="3" s="1"/>
  <c r="O245" i="3" s="1"/>
  <c r="AI245" i="3"/>
  <c r="L239" i="3"/>
  <c r="M239" i="3" s="1"/>
  <c r="O239" i="3" s="1"/>
  <c r="AI239" i="3"/>
  <c r="L215" i="3"/>
  <c r="M215" i="3" s="1"/>
  <c r="O215" i="3" s="1"/>
  <c r="AI215" i="3"/>
  <c r="L209" i="3"/>
  <c r="M209" i="3" s="1"/>
  <c r="O209" i="3" s="1"/>
  <c r="AI209" i="3"/>
  <c r="L203" i="3"/>
  <c r="M203" i="3" s="1"/>
  <c r="O203" i="3" s="1"/>
  <c r="AI203" i="3"/>
  <c r="L191" i="3"/>
  <c r="M191" i="3" s="1"/>
  <c r="O191" i="3" s="1"/>
  <c r="AI191" i="3"/>
  <c r="L166" i="3"/>
  <c r="M166" i="3" s="1"/>
  <c r="O166" i="3" s="1"/>
  <c r="AI166" i="3"/>
  <c r="L154" i="3"/>
  <c r="M154" i="3" s="1"/>
  <c r="O154" i="3" s="1"/>
  <c r="AI154" i="3"/>
  <c r="L142" i="3"/>
  <c r="M142" i="3" s="1"/>
  <c r="O142" i="3" s="1"/>
  <c r="AI142" i="3"/>
  <c r="L121" i="3"/>
  <c r="M121" i="3" s="1"/>
  <c r="O121" i="3" s="1"/>
  <c r="Z121" i="3" s="1"/>
  <c r="AI121" i="3"/>
  <c r="AI294" i="3"/>
  <c r="AI278" i="3"/>
  <c r="AI262" i="3"/>
  <c r="L244" i="3"/>
  <c r="M244" i="3" s="1"/>
  <c r="O244" i="3" s="1"/>
  <c r="AI244" i="3"/>
  <c r="L238" i="3"/>
  <c r="M238" i="3" s="1"/>
  <c r="O238" i="3" s="1"/>
  <c r="AI238" i="3"/>
  <c r="L226" i="3"/>
  <c r="M226" i="3" s="1"/>
  <c r="O226" i="3" s="1"/>
  <c r="AI226" i="3"/>
  <c r="L214" i="3"/>
  <c r="M214" i="3" s="1"/>
  <c r="O214" i="3" s="1"/>
  <c r="AI214" i="3"/>
  <c r="L202" i="3"/>
  <c r="M202" i="3" s="1"/>
  <c r="O202" i="3" s="1"/>
  <c r="AI202" i="3"/>
  <c r="L190" i="3"/>
  <c r="M190" i="3" s="1"/>
  <c r="O190" i="3" s="1"/>
  <c r="AI190" i="3"/>
  <c r="L178" i="3"/>
  <c r="M178" i="3" s="1"/>
  <c r="O178" i="3" s="1"/>
  <c r="AI178" i="3"/>
  <c r="L165" i="3"/>
  <c r="M165" i="3" s="1"/>
  <c r="O165" i="3" s="1"/>
  <c r="AI165" i="3"/>
  <c r="L153" i="3"/>
  <c r="M153" i="3" s="1"/>
  <c r="O153" i="3" s="1"/>
  <c r="AI153" i="3"/>
  <c r="L141" i="3"/>
  <c r="M141" i="3" s="1"/>
  <c r="O141" i="3" s="1"/>
  <c r="Z141" i="3" s="1"/>
  <c r="AI141" i="3"/>
  <c r="L135" i="3"/>
  <c r="M135" i="3" s="1"/>
  <c r="O135" i="3" s="1"/>
  <c r="Z135" i="3" s="1"/>
  <c r="AI135" i="3"/>
  <c r="L116" i="3"/>
  <c r="M116" i="3" s="1"/>
  <c r="O116" i="3" s="1"/>
  <c r="Z116" i="3" s="1"/>
  <c r="AI116" i="3"/>
  <c r="L100" i="3"/>
  <c r="M100" i="3" s="1"/>
  <c r="O100" i="3" s="1"/>
  <c r="Z100" i="3" s="1"/>
  <c r="AI100" i="3"/>
  <c r="L84" i="3"/>
  <c r="M84" i="3" s="1"/>
  <c r="O84" i="3" s="1"/>
  <c r="Z84" i="3" s="1"/>
  <c r="AI84" i="3"/>
  <c r="AH68" i="3"/>
  <c r="K68" i="3" s="1"/>
  <c r="L68" i="3" s="1"/>
  <c r="M68" i="3" s="1"/>
  <c r="AI68" i="3"/>
  <c r="AH52" i="3"/>
  <c r="K52" i="3" s="1"/>
  <c r="L52" i="3" s="1"/>
  <c r="M52" i="3" s="1"/>
  <c r="AI52" i="3"/>
  <c r="AH36" i="3"/>
  <c r="K36" i="3" s="1"/>
  <c r="L36" i="3" s="1"/>
  <c r="M36" i="3" s="1"/>
  <c r="AI36" i="3"/>
  <c r="AH20" i="3"/>
  <c r="K20" i="3" s="1"/>
  <c r="L20" i="3" s="1"/>
  <c r="M20" i="3" s="1"/>
  <c r="AH12" i="3"/>
  <c r="K12" i="3" s="1"/>
  <c r="L12" i="3" s="1"/>
  <c r="M12" i="3" s="1"/>
  <c r="AI298" i="3"/>
  <c r="L115" i="3"/>
  <c r="M115" i="3" s="1"/>
  <c r="O115" i="3" s="1"/>
  <c r="Z115" i="3" s="1"/>
  <c r="AI115" i="3"/>
  <c r="L107" i="3"/>
  <c r="M107" i="3" s="1"/>
  <c r="O107" i="3" s="1"/>
  <c r="Z107" i="3" s="1"/>
  <c r="AI107" i="3"/>
  <c r="L99" i="3"/>
  <c r="M99" i="3" s="1"/>
  <c r="O99" i="3" s="1"/>
  <c r="Z99" i="3" s="1"/>
  <c r="AI99" i="3"/>
  <c r="L91" i="3"/>
  <c r="M91" i="3" s="1"/>
  <c r="O91" i="3" s="1"/>
  <c r="Z91" i="3" s="1"/>
  <c r="L83" i="3"/>
  <c r="M83" i="3" s="1"/>
  <c r="O83" i="3" s="1"/>
  <c r="Z83" i="3" s="1"/>
  <c r="AI83" i="3"/>
  <c r="AH75" i="3"/>
  <c r="K75" i="3" s="1"/>
  <c r="L75" i="3" s="1"/>
  <c r="M75" i="3" s="1"/>
  <c r="AI75" i="3"/>
  <c r="AH67" i="3"/>
  <c r="K67" i="3" s="1"/>
  <c r="L67" i="3" s="1"/>
  <c r="M67" i="3" s="1"/>
  <c r="O67" i="3" s="1"/>
  <c r="AI67" i="3"/>
  <c r="AH59" i="3"/>
  <c r="K59" i="3" s="1"/>
  <c r="L59" i="3" s="1"/>
  <c r="M59" i="3" s="1"/>
  <c r="AI59" i="3"/>
  <c r="AH51" i="3"/>
  <c r="K51" i="3" s="1"/>
  <c r="L51" i="3" s="1"/>
  <c r="M51" i="3" s="1"/>
  <c r="AI51" i="3"/>
  <c r="AH43" i="3"/>
  <c r="K43" i="3" s="1"/>
  <c r="L43" i="3" s="1"/>
  <c r="M43" i="3" s="1"/>
  <c r="AI43" i="3"/>
  <c r="AH35" i="3"/>
  <c r="K35" i="3" s="1"/>
  <c r="L35" i="3" s="1"/>
  <c r="M35" i="3" s="1"/>
  <c r="AI35" i="3"/>
  <c r="AH27" i="3"/>
  <c r="K27" i="3" s="1"/>
  <c r="L27" i="3" s="1"/>
  <c r="M27" i="3" s="1"/>
  <c r="AH19" i="3"/>
  <c r="K19" i="3" s="1"/>
  <c r="L19" i="3" s="1"/>
  <c r="M19" i="3" s="1"/>
  <c r="AH11" i="3"/>
  <c r="AI11" i="3"/>
  <c r="AH3" i="3"/>
  <c r="AI3" i="3"/>
  <c r="L114" i="3"/>
  <c r="M114" i="3" s="1"/>
  <c r="O114" i="3" s="1"/>
  <c r="Z114" i="3" s="1"/>
  <c r="AI114" i="3"/>
  <c r="L106" i="3"/>
  <c r="M106" i="3" s="1"/>
  <c r="O106" i="3" s="1"/>
  <c r="Z106" i="3" s="1"/>
  <c r="AI106" i="3"/>
  <c r="L98" i="3"/>
  <c r="M98" i="3" s="1"/>
  <c r="O98" i="3" s="1"/>
  <c r="Z98" i="3" s="1"/>
  <c r="AI98" i="3"/>
  <c r="L90" i="3"/>
  <c r="M90" i="3" s="1"/>
  <c r="O90" i="3" s="1"/>
  <c r="Z90" i="3" s="1"/>
  <c r="L82" i="3"/>
  <c r="M82" i="3" s="1"/>
  <c r="O82" i="3" s="1"/>
  <c r="Z82" i="3" s="1"/>
  <c r="AI82" i="3"/>
  <c r="AH74" i="3"/>
  <c r="K74" i="3" s="1"/>
  <c r="L74" i="3" s="1"/>
  <c r="M74" i="3" s="1"/>
  <c r="AI74" i="3"/>
  <c r="AH66" i="3"/>
  <c r="K66" i="3" s="1"/>
  <c r="L66" i="3" s="1"/>
  <c r="M66" i="3" s="1"/>
  <c r="AI66" i="3"/>
  <c r="AH58" i="3"/>
  <c r="K58" i="3" s="1"/>
  <c r="L58" i="3" s="1"/>
  <c r="M58" i="3" s="1"/>
  <c r="AI58" i="3"/>
  <c r="AH50" i="3"/>
  <c r="K50" i="3" s="1"/>
  <c r="L50" i="3" s="1"/>
  <c r="M50" i="3" s="1"/>
  <c r="AI50" i="3"/>
  <c r="AH42" i="3"/>
  <c r="K42" i="3" s="1"/>
  <c r="L42" i="3" s="1"/>
  <c r="M42" i="3" s="1"/>
  <c r="AI42" i="3"/>
  <c r="AH34" i="3"/>
  <c r="K34" i="3" s="1"/>
  <c r="L34" i="3" s="1"/>
  <c r="M34" i="3" s="1"/>
  <c r="AI34" i="3"/>
  <c r="AH26" i="3"/>
  <c r="K26" i="3" s="1"/>
  <c r="L26" i="3" s="1"/>
  <c r="M26" i="3" s="1"/>
  <c r="AH18" i="3"/>
  <c r="K18" i="3" s="1"/>
  <c r="L18" i="3" s="1"/>
  <c r="M18" i="3" s="1"/>
  <c r="AH10" i="3"/>
  <c r="AI10" i="3"/>
  <c r="AH2" i="3"/>
  <c r="AI2" i="3"/>
  <c r="L113" i="3"/>
  <c r="M113" i="3" s="1"/>
  <c r="O113" i="3" s="1"/>
  <c r="Z113" i="3" s="1"/>
  <c r="AI113" i="3"/>
  <c r="L105" i="3"/>
  <c r="M105" i="3" s="1"/>
  <c r="O105" i="3" s="1"/>
  <c r="Z105" i="3" s="1"/>
  <c r="AI105" i="3"/>
  <c r="L97" i="3"/>
  <c r="M97" i="3" s="1"/>
  <c r="O97" i="3" s="1"/>
  <c r="Z97" i="3" s="1"/>
  <c r="AI97" i="3"/>
  <c r="L89" i="3"/>
  <c r="M89" i="3" s="1"/>
  <c r="O89" i="3" s="1"/>
  <c r="Z89" i="3" s="1"/>
  <c r="L81" i="3"/>
  <c r="M81" i="3" s="1"/>
  <c r="O81" i="3" s="1"/>
  <c r="Z81" i="3" s="1"/>
  <c r="AI81" i="3"/>
  <c r="AH73" i="3"/>
  <c r="K73" i="3" s="1"/>
  <c r="L73" i="3" s="1"/>
  <c r="M73" i="3" s="1"/>
  <c r="AI73" i="3"/>
  <c r="AH65" i="3"/>
  <c r="K65" i="3" s="1"/>
  <c r="L65" i="3" s="1"/>
  <c r="M65" i="3" s="1"/>
  <c r="AI65" i="3"/>
  <c r="AH57" i="3"/>
  <c r="K57" i="3" s="1"/>
  <c r="L57" i="3" s="1"/>
  <c r="M57" i="3" s="1"/>
  <c r="AI57" i="3"/>
  <c r="AH49" i="3"/>
  <c r="K49" i="3" s="1"/>
  <c r="L49" i="3" s="1"/>
  <c r="M49" i="3" s="1"/>
  <c r="AI49" i="3"/>
  <c r="AH41" i="3"/>
  <c r="K41" i="3" s="1"/>
  <c r="L41" i="3" s="1"/>
  <c r="M41" i="3" s="1"/>
  <c r="AI41" i="3"/>
  <c r="AH33" i="3"/>
  <c r="K33" i="3" s="1"/>
  <c r="L33" i="3" s="1"/>
  <c r="M33" i="3" s="1"/>
  <c r="AI33" i="3"/>
  <c r="AH25" i="3"/>
  <c r="K25" i="3" s="1"/>
  <c r="L25" i="3" s="1"/>
  <c r="M25" i="3" s="1"/>
  <c r="AH17" i="3"/>
  <c r="K17" i="3" s="1"/>
  <c r="L17" i="3" s="1"/>
  <c r="M17" i="3" s="1"/>
  <c r="AH9" i="3"/>
  <c r="AI9" i="3"/>
  <c r="AI285" i="3"/>
  <c r="AI269" i="3"/>
  <c r="L253" i="3"/>
  <c r="M253" i="3" s="1"/>
  <c r="O253" i="3" s="1"/>
  <c r="AI253" i="3"/>
  <c r="L247" i="3"/>
  <c r="M247" i="3" s="1"/>
  <c r="O247" i="3" s="1"/>
  <c r="AI247" i="3"/>
  <c r="L234" i="3"/>
  <c r="M234" i="3" s="1"/>
  <c r="O234" i="3" s="1"/>
  <c r="AI234" i="3"/>
  <c r="L222" i="3"/>
  <c r="M222" i="3" s="1"/>
  <c r="O222" i="3" s="1"/>
  <c r="AI222" i="3"/>
  <c r="L198" i="3"/>
  <c r="M198" i="3" s="1"/>
  <c r="O198" i="3" s="1"/>
  <c r="AI198" i="3"/>
  <c r="L186" i="3"/>
  <c r="M186" i="3" s="1"/>
  <c r="O186" i="3" s="1"/>
  <c r="AI186" i="3"/>
  <c r="L174" i="3"/>
  <c r="M174" i="3" s="1"/>
  <c r="O174" i="3" s="1"/>
  <c r="AI174" i="3"/>
  <c r="L162" i="3"/>
  <c r="M162" i="3" s="1"/>
  <c r="O162" i="3" s="1"/>
  <c r="AI162" i="3"/>
  <c r="L149" i="3"/>
  <c r="M149" i="3" s="1"/>
  <c r="O149" i="3" s="1"/>
  <c r="AI149" i="3"/>
  <c r="L137" i="3"/>
  <c r="M137" i="3" s="1"/>
  <c r="O137" i="3" s="1"/>
  <c r="Z137" i="3" s="1"/>
  <c r="AI137" i="3"/>
  <c r="L130" i="3"/>
  <c r="M130" i="3" s="1"/>
  <c r="O130" i="3" s="1"/>
  <c r="Z130" i="3" s="1"/>
  <c r="AI130" i="3"/>
  <c r="L123" i="3"/>
  <c r="M123" i="3" s="1"/>
  <c r="O123" i="3" s="1"/>
  <c r="Z123" i="3" s="1"/>
  <c r="AI123" i="3"/>
  <c r="L120" i="3"/>
  <c r="M120" i="3" s="1"/>
  <c r="O120" i="3" s="1"/>
  <c r="Z120" i="3" s="1"/>
  <c r="AI120" i="3"/>
  <c r="L112" i="3"/>
  <c r="M112" i="3" s="1"/>
  <c r="O112" i="3" s="1"/>
  <c r="Z112" i="3" s="1"/>
  <c r="AI112" i="3"/>
  <c r="L104" i="3"/>
  <c r="M104" i="3" s="1"/>
  <c r="O104" i="3" s="1"/>
  <c r="Z104" i="3" s="1"/>
  <c r="AI104" i="3"/>
  <c r="L96" i="3"/>
  <c r="M96" i="3" s="1"/>
  <c r="O96" i="3" s="1"/>
  <c r="Z96" i="3" s="1"/>
  <c r="L88" i="3"/>
  <c r="M88" i="3" s="1"/>
  <c r="O88" i="3" s="1"/>
  <c r="Z88" i="3" s="1"/>
  <c r="AI88" i="3"/>
  <c r="L80" i="3"/>
  <c r="M80" i="3" s="1"/>
  <c r="O80" i="3" s="1"/>
  <c r="Z80" i="3" s="1"/>
  <c r="AI80" i="3"/>
  <c r="AH72" i="3"/>
  <c r="K72" i="3" s="1"/>
  <c r="L72" i="3" s="1"/>
  <c r="M72" i="3" s="1"/>
  <c r="AI72" i="3"/>
  <c r="AH64" i="3"/>
  <c r="K64" i="3" s="1"/>
  <c r="L64" i="3" s="1"/>
  <c r="M64" i="3" s="1"/>
  <c r="AI64" i="3"/>
  <c r="AH56" i="3"/>
  <c r="K56" i="3" s="1"/>
  <c r="L56" i="3" s="1"/>
  <c r="M56" i="3" s="1"/>
  <c r="AI56" i="3"/>
  <c r="AH48" i="3"/>
  <c r="K48" i="3" s="1"/>
  <c r="L48" i="3" s="1"/>
  <c r="M48" i="3" s="1"/>
  <c r="AI48" i="3"/>
  <c r="AH40" i="3"/>
  <c r="K40" i="3" s="1"/>
  <c r="L40" i="3" s="1"/>
  <c r="M40" i="3" s="1"/>
  <c r="AI40" i="3"/>
  <c r="AH32" i="3"/>
  <c r="K32" i="3" s="1"/>
  <c r="L32" i="3" s="1"/>
  <c r="M32" i="3" s="1"/>
  <c r="AI32" i="3"/>
  <c r="AH24" i="3"/>
  <c r="K24" i="3" s="1"/>
  <c r="L24" i="3" s="1"/>
  <c r="M24" i="3" s="1"/>
  <c r="AH16" i="3"/>
  <c r="K16" i="3" s="1"/>
  <c r="L16" i="3" s="1"/>
  <c r="M16" i="3" s="1"/>
  <c r="AH8" i="3"/>
  <c r="AI8" i="3"/>
  <c r="AI290" i="3"/>
  <c r="AI274" i="3"/>
  <c r="AI258" i="3"/>
  <c r="L252" i="3"/>
  <c r="M252" i="3" s="1"/>
  <c r="O252" i="3" s="1"/>
  <c r="AI252" i="3"/>
  <c r="L246" i="3"/>
  <c r="M246" i="3" s="1"/>
  <c r="O246" i="3" s="1"/>
  <c r="AI246" i="3"/>
  <c r="L233" i="3"/>
  <c r="M233" i="3" s="1"/>
  <c r="O233" i="3" s="1"/>
  <c r="AI233" i="3"/>
  <c r="L221" i="3"/>
  <c r="M221" i="3" s="1"/>
  <c r="O221" i="3" s="1"/>
  <c r="AI221" i="3"/>
  <c r="L210" i="3"/>
  <c r="M210" i="3" s="1"/>
  <c r="O210" i="3" s="1"/>
  <c r="AI210" i="3"/>
  <c r="L197" i="3"/>
  <c r="M197" i="3" s="1"/>
  <c r="O197" i="3" s="1"/>
  <c r="AI197" i="3"/>
  <c r="L185" i="3"/>
  <c r="M185" i="3" s="1"/>
  <c r="O185" i="3" s="1"/>
  <c r="AI185" i="3"/>
  <c r="L173" i="3"/>
  <c r="M173" i="3" s="1"/>
  <c r="O173" i="3" s="1"/>
  <c r="AI173" i="3"/>
  <c r="L167" i="3"/>
  <c r="M167" i="3" s="1"/>
  <c r="O167" i="3" s="1"/>
  <c r="AI167" i="3"/>
  <c r="L161" i="3"/>
  <c r="M161" i="3" s="1"/>
  <c r="O161" i="3" s="1"/>
  <c r="AI161" i="3"/>
  <c r="L155" i="3"/>
  <c r="M155" i="3" s="1"/>
  <c r="O155" i="3" s="1"/>
  <c r="AI155" i="3"/>
  <c r="L143" i="3"/>
  <c r="M143" i="3" s="1"/>
  <c r="O143" i="3" s="1"/>
  <c r="AI143" i="3"/>
  <c r="L129" i="3"/>
  <c r="M129" i="3" s="1"/>
  <c r="AI129" i="3"/>
  <c r="L122" i="3"/>
  <c r="M122" i="3" s="1"/>
  <c r="O122" i="3" s="1"/>
  <c r="Z122" i="3" s="1"/>
  <c r="AI122" i="3"/>
  <c r="L119" i="3"/>
  <c r="M119" i="3" s="1"/>
  <c r="O119" i="3" s="1"/>
  <c r="Z119" i="3" s="1"/>
  <c r="AI119" i="3"/>
  <c r="AI111" i="3"/>
  <c r="L103" i="3"/>
  <c r="M103" i="3" s="1"/>
  <c r="O103" i="3" s="1"/>
  <c r="Z103" i="3" s="1"/>
  <c r="AI103" i="3"/>
  <c r="L95" i="3"/>
  <c r="M95" i="3" s="1"/>
  <c r="O95" i="3" s="1"/>
  <c r="Z95" i="3" s="1"/>
  <c r="AI95" i="3"/>
  <c r="L87" i="3"/>
  <c r="M87" i="3" s="1"/>
  <c r="O87" i="3" s="1"/>
  <c r="Z87" i="3" s="1"/>
  <c r="AI87" i="3"/>
  <c r="L79" i="3"/>
  <c r="M79" i="3" s="1"/>
  <c r="O79" i="3" s="1"/>
  <c r="Z79" i="3" s="1"/>
  <c r="AI79" i="3"/>
  <c r="AH71" i="3"/>
  <c r="K71" i="3" s="1"/>
  <c r="L71" i="3" s="1"/>
  <c r="M71" i="3" s="1"/>
  <c r="AI71" i="3"/>
  <c r="AH63" i="3"/>
  <c r="K63" i="3" s="1"/>
  <c r="L63" i="3" s="1"/>
  <c r="M63" i="3" s="1"/>
  <c r="AI63" i="3"/>
  <c r="AH55" i="3"/>
  <c r="K55" i="3" s="1"/>
  <c r="L55" i="3" s="1"/>
  <c r="M55" i="3" s="1"/>
  <c r="AI55" i="3"/>
  <c r="AH47" i="3"/>
  <c r="K47" i="3" s="1"/>
  <c r="L47" i="3" s="1"/>
  <c r="M47" i="3" s="1"/>
  <c r="AI47" i="3"/>
  <c r="AH39" i="3"/>
  <c r="K39" i="3" s="1"/>
  <c r="L39" i="3" s="1"/>
  <c r="M39" i="3" s="1"/>
  <c r="AI39" i="3"/>
  <c r="AH31" i="3"/>
  <c r="K31" i="3" s="1"/>
  <c r="L31" i="3" s="1"/>
  <c r="M31" i="3" s="1"/>
  <c r="AI31" i="3"/>
  <c r="AH23" i="3"/>
  <c r="K23" i="3" s="1"/>
  <c r="L23" i="3" s="1"/>
  <c r="M23" i="3" s="1"/>
  <c r="AH15" i="3"/>
  <c r="K15" i="3" s="1"/>
  <c r="L15" i="3" s="1"/>
  <c r="M15" i="3" s="1"/>
  <c r="AH7" i="3"/>
  <c r="AI7" i="3"/>
  <c r="AI289" i="3"/>
  <c r="L118" i="3"/>
  <c r="M118" i="3" s="1"/>
  <c r="O118" i="3" s="1"/>
  <c r="Z118" i="3" s="1"/>
  <c r="AI118" i="3"/>
  <c r="L110" i="3"/>
  <c r="M110" i="3" s="1"/>
  <c r="O110" i="3" s="1"/>
  <c r="Z110" i="3" s="1"/>
  <c r="AI110" i="3"/>
  <c r="L102" i="3"/>
  <c r="M102" i="3" s="1"/>
  <c r="O102" i="3" s="1"/>
  <c r="Z102" i="3" s="1"/>
  <c r="AI102" i="3"/>
  <c r="L94" i="3"/>
  <c r="M94" i="3" s="1"/>
  <c r="O94" i="3" s="1"/>
  <c r="Z94" i="3" s="1"/>
  <c r="AI94" i="3"/>
  <c r="L86" i="3"/>
  <c r="M86" i="3" s="1"/>
  <c r="O86" i="3" s="1"/>
  <c r="Z86" i="3" s="1"/>
  <c r="AI86" i="3"/>
  <c r="L78" i="3"/>
  <c r="M78" i="3" s="1"/>
  <c r="O78" i="3" s="1"/>
  <c r="Z78" i="3" s="1"/>
  <c r="AI78" i="3"/>
  <c r="AH70" i="3"/>
  <c r="K70" i="3" s="1"/>
  <c r="L70" i="3" s="1"/>
  <c r="M70" i="3" s="1"/>
  <c r="AI70" i="3"/>
  <c r="AH62" i="3"/>
  <c r="K62" i="3" s="1"/>
  <c r="L62" i="3" s="1"/>
  <c r="M62" i="3" s="1"/>
  <c r="AI62" i="3"/>
  <c r="AH54" i="3"/>
  <c r="K54" i="3" s="1"/>
  <c r="L54" i="3" s="1"/>
  <c r="M54" i="3" s="1"/>
  <c r="AI54" i="3"/>
  <c r="AH46" i="3"/>
  <c r="K46" i="3" s="1"/>
  <c r="L46" i="3" s="1"/>
  <c r="M46" i="3" s="1"/>
  <c r="AI46" i="3"/>
  <c r="AH38" i="3"/>
  <c r="K38" i="3" s="1"/>
  <c r="L38" i="3" s="1"/>
  <c r="M38" i="3" s="1"/>
  <c r="AI38" i="3"/>
  <c r="AH30" i="3"/>
  <c r="K30" i="3" s="1"/>
  <c r="L30" i="3" s="1"/>
  <c r="M30" i="3" s="1"/>
  <c r="AI30" i="3"/>
  <c r="AH22" i="3"/>
  <c r="K22" i="3" s="1"/>
  <c r="L22" i="3" s="1"/>
  <c r="M22" i="3" s="1"/>
  <c r="AH14" i="3"/>
  <c r="K14" i="3" s="1"/>
  <c r="L14" i="3" s="1"/>
  <c r="M14" i="3" s="1"/>
  <c r="AH6" i="3"/>
  <c r="AI6" i="3"/>
  <c r="L117" i="3"/>
  <c r="M117" i="3" s="1"/>
  <c r="O117" i="3" s="1"/>
  <c r="Z117" i="3" s="1"/>
  <c r="AI117" i="3"/>
  <c r="L109" i="3"/>
  <c r="M109" i="3" s="1"/>
  <c r="O109" i="3" s="1"/>
  <c r="Z109" i="3" s="1"/>
  <c r="AI109" i="3"/>
  <c r="L101" i="3"/>
  <c r="M101" i="3" s="1"/>
  <c r="O101" i="3" s="1"/>
  <c r="Z101" i="3" s="1"/>
  <c r="AI101" i="3"/>
  <c r="L93" i="3"/>
  <c r="M93" i="3" s="1"/>
  <c r="O93" i="3" s="1"/>
  <c r="Z93" i="3" s="1"/>
  <c r="AI93" i="3"/>
  <c r="L85" i="3"/>
  <c r="M85" i="3" s="1"/>
  <c r="O85" i="3" s="1"/>
  <c r="Z85" i="3" s="1"/>
  <c r="AI85" i="3"/>
  <c r="M77" i="3"/>
  <c r="O77" i="3" s="1"/>
  <c r="Z77" i="3" s="1"/>
  <c r="AH69" i="3"/>
  <c r="K69" i="3" s="1"/>
  <c r="L69" i="3" s="1"/>
  <c r="M69" i="3" s="1"/>
  <c r="AI69" i="3"/>
  <c r="AH61" i="3"/>
  <c r="K61" i="3" s="1"/>
  <c r="L61" i="3" s="1"/>
  <c r="M61" i="3" s="1"/>
  <c r="AI61" i="3"/>
  <c r="AH53" i="3"/>
  <c r="K53" i="3" s="1"/>
  <c r="L53" i="3" s="1"/>
  <c r="M53" i="3" s="1"/>
  <c r="AI53" i="3"/>
  <c r="AH45" i="3"/>
  <c r="K45" i="3" s="1"/>
  <c r="L45" i="3" s="1"/>
  <c r="M45" i="3" s="1"/>
  <c r="AI45" i="3"/>
  <c r="AH37" i="3"/>
  <c r="K37" i="3" s="1"/>
  <c r="L37" i="3" s="1"/>
  <c r="M37" i="3" s="1"/>
  <c r="AI37" i="3"/>
  <c r="AH29" i="3"/>
  <c r="K29" i="3" s="1"/>
  <c r="L29" i="3" s="1"/>
  <c r="M29" i="3" s="1"/>
  <c r="AI29" i="3"/>
  <c r="AH21" i="3"/>
  <c r="K21" i="3" s="1"/>
  <c r="L21" i="3" s="1"/>
  <c r="M21" i="3" s="1"/>
  <c r="AH13" i="3"/>
  <c r="K13" i="3" s="1"/>
  <c r="L13" i="3" s="1"/>
  <c r="M13" i="3" s="1"/>
  <c r="AH5" i="3"/>
  <c r="AI5" i="3"/>
  <c r="AI293" i="3"/>
  <c r="AI277" i="3"/>
  <c r="AI261" i="3"/>
  <c r="L250" i="3"/>
  <c r="M250" i="3" s="1"/>
  <c r="O250" i="3" s="1"/>
  <c r="AI250" i="3"/>
  <c r="L243" i="3"/>
  <c r="M243" i="3" s="1"/>
  <c r="O243" i="3" s="1"/>
  <c r="L237" i="3"/>
  <c r="M237" i="3" s="1"/>
  <c r="O237" i="3" s="1"/>
  <c r="AI237" i="3"/>
  <c r="L231" i="3"/>
  <c r="M231" i="3" s="1"/>
  <c r="O231" i="3" s="1"/>
  <c r="AI231" i="3"/>
  <c r="L225" i="3"/>
  <c r="M225" i="3" s="1"/>
  <c r="O225" i="3" s="1"/>
  <c r="AI225" i="3"/>
  <c r="L219" i="3"/>
  <c r="M219" i="3" s="1"/>
  <c r="O219" i="3" s="1"/>
  <c r="L213" i="3"/>
  <c r="M213" i="3" s="1"/>
  <c r="O213" i="3" s="1"/>
  <c r="AI213" i="3"/>
  <c r="L201" i="3"/>
  <c r="M201" i="3" s="1"/>
  <c r="O201" i="3" s="1"/>
  <c r="AI201" i="3"/>
  <c r="L195" i="3"/>
  <c r="M195" i="3" s="1"/>
  <c r="O195" i="3" s="1"/>
  <c r="L189" i="3"/>
  <c r="M189" i="3" s="1"/>
  <c r="O189" i="3" s="1"/>
  <c r="AI189" i="3"/>
  <c r="L183" i="3"/>
  <c r="M183" i="3" s="1"/>
  <c r="O183" i="3" s="1"/>
  <c r="AI183" i="3"/>
  <c r="L177" i="3"/>
  <c r="M177" i="3" s="1"/>
  <c r="O177" i="3" s="1"/>
  <c r="AI177" i="3"/>
  <c r="L171" i="3"/>
  <c r="M171" i="3" s="1"/>
  <c r="O171" i="3" s="1"/>
  <c r="AI171" i="3"/>
  <c r="L164" i="3"/>
  <c r="M164" i="3" s="1"/>
  <c r="O164" i="3" s="1"/>
  <c r="L159" i="3"/>
  <c r="M159" i="3" s="1"/>
  <c r="O159" i="3" s="1"/>
  <c r="AI159" i="3"/>
  <c r="L152" i="3"/>
  <c r="M152" i="3" s="1"/>
  <c r="O152" i="3" s="1"/>
  <c r="L140" i="3"/>
  <c r="M140" i="3" s="1"/>
  <c r="O140" i="3" s="1"/>
  <c r="Z140" i="3" s="1"/>
  <c r="L134" i="3"/>
  <c r="M134" i="3" s="1"/>
  <c r="O134" i="3" s="1"/>
  <c r="Z134" i="3" s="1"/>
  <c r="AI134" i="3"/>
  <c r="L127" i="3"/>
  <c r="M127" i="3" s="1"/>
  <c r="O127" i="3" s="1"/>
  <c r="Z127" i="3" s="1"/>
  <c r="AI127" i="3"/>
  <c r="AI282" i="3"/>
  <c r="AI266" i="3"/>
  <c r="L249" i="3"/>
  <c r="M249" i="3" s="1"/>
  <c r="O249" i="3" s="1"/>
  <c r="AI249" i="3"/>
  <c r="L236" i="3"/>
  <c r="M236" i="3" s="1"/>
  <c r="O236" i="3" s="1"/>
  <c r="AI236" i="3"/>
  <c r="L230" i="3"/>
  <c r="M230" i="3" s="1"/>
  <c r="O230" i="3" s="1"/>
  <c r="AI230" i="3"/>
  <c r="L207" i="3"/>
  <c r="M207" i="3" s="1"/>
  <c r="O207" i="3" s="1"/>
  <c r="AI207" i="3"/>
  <c r="L182" i="3"/>
  <c r="M182" i="3" s="1"/>
  <c r="O182" i="3" s="1"/>
  <c r="AI182" i="3"/>
  <c r="L170" i="3"/>
  <c r="M170" i="3" s="1"/>
  <c r="O170" i="3" s="1"/>
  <c r="AI170" i="3"/>
  <c r="L158" i="3"/>
  <c r="M158" i="3" s="1"/>
  <c r="O158" i="3" s="1"/>
  <c r="AI158" i="3"/>
  <c r="L146" i="3"/>
  <c r="M146" i="3" s="1"/>
  <c r="O146" i="3" s="1"/>
  <c r="AI146" i="3"/>
  <c r="L133" i="3"/>
  <c r="M133" i="3" s="1"/>
  <c r="O133" i="3" s="1"/>
  <c r="Z133" i="3" s="1"/>
  <c r="AI133" i="3"/>
  <c r="L126" i="3"/>
  <c r="M126" i="3" s="1"/>
  <c r="O126" i="3" s="1"/>
  <c r="Z126" i="3" s="1"/>
  <c r="AI126" i="3"/>
  <c r="AI297" i="3"/>
  <c r="AI281" i="3"/>
  <c r="AI265" i="3"/>
  <c r="L248" i="3"/>
  <c r="M248" i="3" s="1"/>
  <c r="O248" i="3" s="1"/>
  <c r="L242" i="3"/>
  <c r="M242" i="3" s="1"/>
  <c r="O242" i="3" s="1"/>
  <c r="AI242" i="3"/>
  <c r="L235" i="3"/>
  <c r="M235" i="3" s="1"/>
  <c r="O235" i="3" s="1"/>
  <c r="L229" i="3"/>
  <c r="M229" i="3" s="1"/>
  <c r="O229" i="3" s="1"/>
  <c r="AI229" i="3"/>
  <c r="L218" i="3"/>
  <c r="M218" i="3" s="1"/>
  <c r="O218" i="3" s="1"/>
  <c r="AI218" i="3"/>
  <c r="L206" i="3"/>
  <c r="M206" i="3" s="1"/>
  <c r="O206" i="3" s="1"/>
  <c r="AI206" i="3"/>
  <c r="L194" i="3"/>
  <c r="M194" i="3" s="1"/>
  <c r="O194" i="3" s="1"/>
  <c r="AI194" i="3"/>
  <c r="L181" i="3"/>
  <c r="M181" i="3" s="1"/>
  <c r="O181" i="3" s="1"/>
  <c r="AI181" i="3"/>
  <c r="L169" i="3"/>
  <c r="M169" i="3" s="1"/>
  <c r="O169" i="3" s="1"/>
  <c r="AI169" i="3"/>
  <c r="L163" i="3"/>
  <c r="M163" i="3" s="1"/>
  <c r="O163" i="3" s="1"/>
  <c r="L157" i="3"/>
  <c r="M157" i="3" s="1"/>
  <c r="O157" i="3" s="1"/>
  <c r="AI157" i="3"/>
  <c r="L151" i="3"/>
  <c r="M151" i="3" s="1"/>
  <c r="O151" i="3" s="1"/>
  <c r="AI151" i="3"/>
  <c r="L145" i="3"/>
  <c r="M145" i="3" s="1"/>
  <c r="O145" i="3" s="1"/>
  <c r="AI145" i="3"/>
  <c r="L139" i="3"/>
  <c r="M139" i="3" s="1"/>
  <c r="O139" i="3" s="1"/>
  <c r="Z139" i="3" s="1"/>
  <c r="AI139" i="3"/>
  <c r="L132" i="3"/>
  <c r="M132" i="3" s="1"/>
  <c r="O132" i="3" s="1"/>
  <c r="Z132" i="3" s="1"/>
  <c r="AI132" i="3"/>
  <c r="L125" i="3"/>
  <c r="M125" i="3" s="1"/>
  <c r="O125" i="3" s="1"/>
  <c r="Z125" i="3" s="1"/>
  <c r="AI125" i="3"/>
  <c r="L108" i="3"/>
  <c r="M108" i="3" s="1"/>
  <c r="O108" i="3" s="1"/>
  <c r="Z108" i="3" s="1"/>
  <c r="AI108" i="3"/>
  <c r="L92" i="3"/>
  <c r="M92" i="3" s="1"/>
  <c r="O92" i="3" s="1"/>
  <c r="Z92" i="3" s="1"/>
  <c r="AI92" i="3"/>
  <c r="AH60" i="3"/>
  <c r="K60" i="3" s="1"/>
  <c r="L60" i="3" s="1"/>
  <c r="M60" i="3" s="1"/>
  <c r="AI60" i="3"/>
  <c r="AH44" i="3"/>
  <c r="K44" i="3" s="1"/>
  <c r="L44" i="3" s="1"/>
  <c r="M44" i="3" s="1"/>
  <c r="AI44" i="3"/>
  <c r="AH28" i="3"/>
  <c r="K28" i="3" s="1"/>
  <c r="L28" i="3" s="1"/>
  <c r="M28" i="3" s="1"/>
  <c r="O28" i="3" s="1"/>
  <c r="AI28" i="3"/>
  <c r="AH4" i="3"/>
  <c r="AI4" i="3"/>
  <c r="AI286" i="3"/>
  <c r="AI270" i="3"/>
  <c r="AI254" i="3"/>
  <c r="L241" i="3"/>
  <c r="M241" i="3" s="1"/>
  <c r="O241" i="3" s="1"/>
  <c r="AI241" i="3"/>
  <c r="L228" i="3"/>
  <c r="M228" i="3" s="1"/>
  <c r="O228" i="3" s="1"/>
  <c r="L223" i="3"/>
  <c r="M223" i="3" s="1"/>
  <c r="O223" i="3" s="1"/>
  <c r="AI223" i="3"/>
  <c r="L217" i="3"/>
  <c r="M217" i="3" s="1"/>
  <c r="O217" i="3" s="1"/>
  <c r="AI217" i="3"/>
  <c r="L211" i="3"/>
  <c r="M211" i="3" s="1"/>
  <c r="O211" i="3" s="1"/>
  <c r="L205" i="3"/>
  <c r="M205" i="3" s="1"/>
  <c r="O205" i="3" s="1"/>
  <c r="AI205" i="3"/>
  <c r="L199" i="3"/>
  <c r="M199" i="3" s="1"/>
  <c r="O199" i="3" s="1"/>
  <c r="AI199" i="3"/>
  <c r="L193" i="3"/>
  <c r="M193" i="3" s="1"/>
  <c r="O193" i="3" s="1"/>
  <c r="AI193" i="3"/>
  <c r="L187" i="3"/>
  <c r="M187" i="3" s="1"/>
  <c r="O187" i="3" s="1"/>
  <c r="AI187" i="3"/>
  <c r="L180" i="3"/>
  <c r="M180" i="3" s="1"/>
  <c r="O180" i="3" s="1"/>
  <c r="L175" i="3"/>
  <c r="M175" i="3" s="1"/>
  <c r="O175" i="3" s="1"/>
  <c r="AI175" i="3"/>
  <c r="L168" i="3"/>
  <c r="M168" i="3" s="1"/>
  <c r="O168" i="3" s="1"/>
  <c r="L156" i="3"/>
  <c r="M156" i="3" s="1"/>
  <c r="O156" i="3" s="1"/>
  <c r="L150" i="3"/>
  <c r="M150" i="3" s="1"/>
  <c r="O150" i="3" s="1"/>
  <c r="AI150" i="3"/>
  <c r="L144" i="3"/>
  <c r="M144" i="3" s="1"/>
  <c r="O144" i="3" s="1"/>
  <c r="L138" i="3"/>
  <c r="M138" i="3" s="1"/>
  <c r="O138" i="3" s="1"/>
  <c r="Z138" i="3" s="1"/>
  <c r="AI138" i="3"/>
  <c r="L131" i="3"/>
  <c r="M131" i="3" s="1"/>
  <c r="O131" i="3" s="1"/>
  <c r="Z131" i="3" s="1"/>
  <c r="AI131" i="3"/>
  <c r="L124" i="3"/>
  <c r="M124" i="3" s="1"/>
  <c r="O124" i="3" s="1"/>
  <c r="Z124" i="3" s="1"/>
  <c r="AI124" i="3"/>
  <c r="F14" i="13" l="1"/>
  <c r="G30" i="2"/>
  <c r="F30" i="2" s="1"/>
  <c r="E30" i="2"/>
  <c r="D30" i="2" s="1"/>
  <c r="K119" i="5"/>
  <c r="L119" i="5" s="1"/>
  <c r="M119" i="5" s="1"/>
  <c r="O119" i="5" s="1"/>
  <c r="Y119" i="5" s="1"/>
  <c r="G27" i="2" s="1"/>
  <c r="F27" i="2" s="1"/>
  <c r="G16" i="7" s="1"/>
  <c r="I33" i="17"/>
  <c r="I34" i="17" s="1"/>
  <c r="K33" i="17"/>
  <c r="K34" i="17" s="1"/>
  <c r="J18" i="16"/>
  <c r="J19" i="16" s="1"/>
  <c r="K11" i="5"/>
  <c r="L11" i="5" s="1"/>
  <c r="M11" i="5" s="1"/>
  <c r="O11" i="5" s="1"/>
  <c r="Y11" i="5" s="1"/>
  <c r="G21" i="2"/>
  <c r="F21" i="2" s="1"/>
  <c r="G14" i="2"/>
  <c r="F14" i="2" s="1"/>
  <c r="G12" i="2"/>
  <c r="F12" i="2" s="1"/>
  <c r="G14" i="9" s="1"/>
  <c r="G15" i="2"/>
  <c r="F15" i="2" s="1"/>
  <c r="G23" i="2"/>
  <c r="F23" i="2" s="1"/>
  <c r="G17" i="2"/>
  <c r="F17" i="2" s="1"/>
  <c r="G29" i="9" s="1"/>
  <c r="G29" i="2"/>
  <c r="F29" i="2" s="1"/>
  <c r="G21" i="7" s="1"/>
  <c r="F21" i="11" s="1"/>
  <c r="G16" i="2"/>
  <c r="F16" i="2" s="1"/>
  <c r="G24" i="2"/>
  <c r="F24" i="2" s="1"/>
  <c r="G25" i="2"/>
  <c r="F25" i="2" s="1"/>
  <c r="G45" i="9" s="1"/>
  <c r="F39" i="10" s="1"/>
  <c r="G18" i="2"/>
  <c r="F18" i="2" s="1"/>
  <c r="G26" i="2"/>
  <c r="F26" i="2" s="1"/>
  <c r="G20" i="2"/>
  <c r="F20" i="2" s="1"/>
  <c r="G22" i="2"/>
  <c r="F22" i="2" s="1"/>
  <c r="G19" i="2"/>
  <c r="F19" i="2" s="1"/>
  <c r="G28" i="2"/>
  <c r="F28" i="2" s="1"/>
  <c r="G20" i="7" s="1"/>
  <c r="F20" i="11" s="1"/>
  <c r="F39" i="11" s="1"/>
  <c r="G31" i="2"/>
  <c r="F31" i="2" s="1"/>
  <c r="F15" i="36"/>
  <c r="H15" i="36" s="1"/>
  <c r="H18" i="16"/>
  <c r="H13" i="15"/>
  <c r="F9" i="13"/>
  <c r="F5" i="13"/>
  <c r="F6" i="13" s="1"/>
  <c r="I11" i="12"/>
  <c r="J13" i="15"/>
  <c r="J14" i="15" s="1"/>
  <c r="F11" i="13"/>
  <c r="I10" i="12"/>
  <c r="F10" i="13"/>
  <c r="F16" i="13"/>
  <c r="O76" i="3"/>
  <c r="Z76" i="3" s="1"/>
  <c r="O44" i="3"/>
  <c r="Z44" i="3" s="1"/>
  <c r="O16" i="3"/>
  <c r="Z16" i="3" s="1"/>
  <c r="O17" i="3"/>
  <c r="Z17" i="3" s="1"/>
  <c r="O33" i="3"/>
  <c r="Z33" i="3" s="1"/>
  <c r="O49" i="3"/>
  <c r="Z49" i="3" s="1"/>
  <c r="O65" i="3"/>
  <c r="Z65" i="3" s="1"/>
  <c r="O12" i="3"/>
  <c r="Z12" i="3" s="1"/>
  <c r="O36" i="3"/>
  <c r="Z36" i="3" s="1"/>
  <c r="O68" i="3"/>
  <c r="Z68" i="3" s="1"/>
  <c r="O21" i="3"/>
  <c r="Z21" i="3" s="1"/>
  <c r="O37" i="3"/>
  <c r="Z37" i="3" s="1"/>
  <c r="O53" i="3"/>
  <c r="Z53" i="3" s="1"/>
  <c r="O69" i="3"/>
  <c r="Z69" i="3" s="1"/>
  <c r="O14" i="3"/>
  <c r="Z14" i="3" s="1"/>
  <c r="O30" i="3"/>
  <c r="Z30" i="3" s="1"/>
  <c r="O46" i="3"/>
  <c r="Z46" i="3" s="1"/>
  <c r="O62" i="3"/>
  <c r="Z62" i="3" s="1"/>
  <c r="O15" i="3"/>
  <c r="Z15" i="3" s="1"/>
  <c r="O31" i="3"/>
  <c r="Z31" i="3" s="1"/>
  <c r="O47" i="3"/>
  <c r="Z47" i="3" s="1"/>
  <c r="O63" i="3"/>
  <c r="Z63" i="3" s="1"/>
  <c r="O24" i="3"/>
  <c r="Z24" i="3" s="1"/>
  <c r="O40" i="3"/>
  <c r="Z40" i="3" s="1"/>
  <c r="O56" i="3"/>
  <c r="Z56" i="3" s="1"/>
  <c r="O72" i="3"/>
  <c r="Z72" i="3" s="1"/>
  <c r="O18" i="3"/>
  <c r="Z18" i="3" s="1"/>
  <c r="O34" i="3"/>
  <c r="Z34" i="3" s="1"/>
  <c r="D14" i="13" s="1"/>
  <c r="O50" i="3"/>
  <c r="Z50" i="3" s="1"/>
  <c r="O66" i="3"/>
  <c r="Z66" i="3" s="1"/>
  <c r="O35" i="3"/>
  <c r="Z35" i="3" s="1"/>
  <c r="O51" i="3"/>
  <c r="Z51" i="3" s="1"/>
  <c r="O60" i="3"/>
  <c r="Z60" i="3" s="1"/>
  <c r="O129" i="3"/>
  <c r="Z129" i="3" s="1"/>
  <c r="O25" i="3"/>
  <c r="Z25" i="3" s="1"/>
  <c r="O41" i="3"/>
  <c r="Z41" i="3" s="1"/>
  <c r="O57" i="3"/>
  <c r="Z57" i="3" s="1"/>
  <c r="O73" i="3"/>
  <c r="Z73" i="3" s="1"/>
  <c r="O19" i="3"/>
  <c r="Z19" i="3" s="1"/>
  <c r="O20" i="3"/>
  <c r="Z20" i="3" s="1"/>
  <c r="O52" i="3"/>
  <c r="Z52" i="3" s="1"/>
  <c r="O13" i="3"/>
  <c r="Z13" i="3" s="1"/>
  <c r="O29" i="3"/>
  <c r="Z29" i="3" s="1"/>
  <c r="O45" i="3"/>
  <c r="Z45" i="3" s="1"/>
  <c r="O61" i="3"/>
  <c r="Z61" i="3" s="1"/>
  <c r="O22" i="3"/>
  <c r="Z22" i="3" s="1"/>
  <c r="O38" i="3"/>
  <c r="Z38" i="3" s="1"/>
  <c r="O54" i="3"/>
  <c r="Z54" i="3" s="1"/>
  <c r="O70" i="3"/>
  <c r="Z70" i="3" s="1"/>
  <c r="O23" i="3"/>
  <c r="Z23" i="3" s="1"/>
  <c r="O39" i="3"/>
  <c r="Z39" i="3" s="1"/>
  <c r="O55" i="3"/>
  <c r="Z55" i="3" s="1"/>
  <c r="O71" i="3"/>
  <c r="Z71" i="3" s="1"/>
  <c r="O32" i="3"/>
  <c r="Z32" i="3" s="1"/>
  <c r="O48" i="3"/>
  <c r="Z48" i="3" s="1"/>
  <c r="O64" i="3"/>
  <c r="Z64" i="3" s="1"/>
  <c r="O26" i="3"/>
  <c r="Z26" i="3" s="1"/>
  <c r="O42" i="3"/>
  <c r="Z42" i="3" s="1"/>
  <c r="O58" i="3"/>
  <c r="Z58" i="3" s="1"/>
  <c r="O74" i="3"/>
  <c r="Z74" i="3" s="1"/>
  <c r="O43" i="3"/>
  <c r="Z43" i="3" s="1"/>
  <c r="O59" i="3"/>
  <c r="Z59" i="3" s="1"/>
  <c r="O75" i="3"/>
  <c r="Z75" i="3" s="1"/>
  <c r="Z67" i="3"/>
  <c r="O28" i="5"/>
  <c r="Y28" i="5" s="1"/>
  <c r="K11" i="3"/>
  <c r="L11" i="3" s="1"/>
  <c r="M11" i="3" s="1"/>
  <c r="G14" i="7"/>
  <c r="E17" i="2"/>
  <c r="D17" i="2" s="1"/>
  <c r="E29" i="9" s="1"/>
  <c r="E18" i="2"/>
  <c r="D18" i="2" s="1"/>
  <c r="E25" i="2"/>
  <c r="D25" i="2" s="1"/>
  <c r="E45" i="9" s="1"/>
  <c r="E28" i="2"/>
  <c r="E20" i="2"/>
  <c r="D20" i="2" s="1"/>
  <c r="E24" i="2"/>
  <c r="D24" i="2" s="1"/>
  <c r="E22" i="2"/>
  <c r="D22" i="2" s="1"/>
  <c r="E23" i="2"/>
  <c r="D23" i="2" s="1"/>
  <c r="E19" i="2"/>
  <c r="D19" i="2" s="1"/>
  <c r="E15" i="2"/>
  <c r="D15" i="2" s="1"/>
  <c r="E29" i="2"/>
  <c r="D29" i="2" s="1"/>
  <c r="E26" i="2"/>
  <c r="E31" i="2"/>
  <c r="E21" i="2"/>
  <c r="D21" i="2" s="1"/>
  <c r="F16" i="36" l="1"/>
  <c r="D9" i="13"/>
  <c r="G9" i="13" s="1"/>
  <c r="G22" i="7"/>
  <c r="G11" i="12"/>
  <c r="D11" i="13"/>
  <c r="D16" i="13"/>
  <c r="G10" i="12"/>
  <c r="D5" i="13"/>
  <c r="D6" i="13" s="1"/>
  <c r="N29" i="5"/>
  <c r="O29" i="5" s="1"/>
  <c r="O7" i="5" s="1"/>
  <c r="D10" i="13"/>
  <c r="G10" i="13" s="1"/>
  <c r="H19" i="16"/>
  <c r="B7" i="16"/>
  <c r="H16" i="36"/>
  <c r="F12" i="13"/>
  <c r="F17" i="13" s="1"/>
  <c r="D31" i="2"/>
  <c r="D26" i="2"/>
  <c r="E14" i="7" s="1"/>
  <c r="S14" i="7" s="1"/>
  <c r="D28" i="2"/>
  <c r="E20" i="7" s="1"/>
  <c r="F40" i="11"/>
  <c r="F41" i="11" s="1"/>
  <c r="E27" i="2"/>
  <c r="E16" i="2"/>
  <c r="E12" i="2"/>
  <c r="E14" i="2"/>
  <c r="O11" i="3"/>
  <c r="Z11" i="3" s="1"/>
  <c r="E36" i="9"/>
  <c r="E21" i="9"/>
  <c r="G21" i="9"/>
  <c r="G31" i="9"/>
  <c r="G37" i="9"/>
  <c r="I35" i="19" s="1"/>
  <c r="G20" i="9"/>
  <c r="G22" i="9"/>
  <c r="G36" i="9"/>
  <c r="J17" i="15" s="1"/>
  <c r="G35" i="9"/>
  <c r="G43" i="9"/>
  <c r="D26" i="10" s="1"/>
  <c r="D39" i="10" s="1"/>
  <c r="H14" i="15"/>
  <c r="G17" i="7"/>
  <c r="I12" i="12"/>
  <c r="G32" i="19"/>
  <c r="G33" i="19" s="1"/>
  <c r="E35" i="9"/>
  <c r="E37" i="9"/>
  <c r="E43" i="9"/>
  <c r="I36" i="17" s="1"/>
  <c r="E31" i="9"/>
  <c r="E21" i="7"/>
  <c r="D17" i="13" l="1"/>
  <c r="G16" i="13"/>
  <c r="D12" i="13"/>
  <c r="H27" i="18"/>
  <c r="H32" i="18" s="1"/>
  <c r="G16" i="37"/>
  <c r="G11" i="13"/>
  <c r="G23" i="7"/>
  <c r="G25" i="7" s="1"/>
  <c r="Y29" i="5"/>
  <c r="G13" i="2" s="1"/>
  <c r="G8" i="2" s="1"/>
  <c r="E22" i="7"/>
  <c r="S22" i="7" s="1"/>
  <c r="G5" i="13"/>
  <c r="F18" i="36"/>
  <c r="K36" i="17"/>
  <c r="H18" i="36"/>
  <c r="D23" i="13"/>
  <c r="G23" i="13" s="1"/>
  <c r="F29" i="13"/>
  <c r="G38" i="9"/>
  <c r="D30" i="11"/>
  <c r="E32" i="9"/>
  <c r="E38" i="9"/>
  <c r="S20" i="7"/>
  <c r="D20" i="11"/>
  <c r="D39" i="11"/>
  <c r="G23" i="9"/>
  <c r="G32" i="9"/>
  <c r="D32" i="11"/>
  <c r="D33" i="11"/>
  <c r="G35" i="19"/>
  <c r="D38" i="11"/>
  <c r="D40" i="11"/>
  <c r="D21" i="11"/>
  <c r="H21" i="16"/>
  <c r="D45" i="11"/>
  <c r="I14" i="12"/>
  <c r="D44" i="11"/>
  <c r="D18" i="10"/>
  <c r="J18" i="10" s="1"/>
  <c r="H17" i="15"/>
  <c r="J21" i="16"/>
  <c r="D12" i="2"/>
  <c r="D27" i="2"/>
  <c r="E16" i="7" s="1"/>
  <c r="D14" i="2"/>
  <c r="E20" i="9" s="1"/>
  <c r="S20" i="9" s="1"/>
  <c r="D16" i="2"/>
  <c r="E22" i="9" s="1"/>
  <c r="D28" i="11" s="1"/>
  <c r="S21" i="9"/>
  <c r="G12" i="12"/>
  <c r="Z28" i="3"/>
  <c r="O27" i="3"/>
  <c r="S35" i="9"/>
  <c r="S29" i="9"/>
  <c r="S31" i="9"/>
  <c r="S21" i="7"/>
  <c r="D34" i="10"/>
  <c r="D38" i="10" s="1"/>
  <c r="S43" i="9"/>
  <c r="S45" i="9"/>
  <c r="J31" i="18"/>
  <c r="L31" i="18" s="1"/>
  <c r="M31" i="18" s="1"/>
  <c r="S37" i="9"/>
  <c r="J30" i="18"/>
  <c r="L30" i="18" s="1"/>
  <c r="M30" i="18" s="1"/>
  <c r="S36" i="9"/>
  <c r="J29" i="18"/>
  <c r="F19" i="13"/>
  <c r="D19" i="13" l="1"/>
  <c r="L27" i="18"/>
  <c r="M27" i="18" s="1"/>
  <c r="D46" i="11"/>
  <c r="G40" i="9"/>
  <c r="F13" i="2"/>
  <c r="E23" i="7"/>
  <c r="L29" i="18"/>
  <c r="M29" i="18" s="1"/>
  <c r="J32" i="18"/>
  <c r="D27" i="13"/>
  <c r="G25" i="13"/>
  <c r="E14" i="9"/>
  <c r="G14" i="12" s="1"/>
  <c r="E23" i="9"/>
  <c r="Z27" i="3"/>
  <c r="E13" i="2" s="1"/>
  <c r="O7" i="3"/>
  <c r="E40" i="9"/>
  <c r="J22" i="18"/>
  <c r="L22" i="18" s="1"/>
  <c r="M22" i="18" s="1"/>
  <c r="S22" i="9"/>
  <c r="J21" i="18"/>
  <c r="L21" i="18" s="1"/>
  <c r="M21" i="18" s="1"/>
  <c r="D37" i="11"/>
  <c r="D41" i="11" s="1"/>
  <c r="S16" i="7"/>
  <c r="E17" i="7"/>
  <c r="L28" i="18"/>
  <c r="M28" i="18" s="1"/>
  <c r="G44" i="9"/>
  <c r="G15" i="9" l="1"/>
  <c r="G17" i="9" s="1"/>
  <c r="G25" i="9" s="1"/>
  <c r="D29" i="13"/>
  <c r="E25" i="7"/>
  <c r="E44" i="9" s="1"/>
  <c r="E46" i="9" s="1"/>
  <c r="E48" i="9" s="1"/>
  <c r="F8" i="2"/>
  <c r="S14" i="9"/>
  <c r="H18" i="18"/>
  <c r="L18" i="18" s="1"/>
  <c r="M18" i="18" s="1"/>
  <c r="L32" i="18"/>
  <c r="D13" i="2"/>
  <c r="E8" i="2"/>
  <c r="H24" i="10"/>
  <c r="H26" i="10" s="1"/>
  <c r="G46" i="9"/>
  <c r="J23" i="18"/>
  <c r="F17" i="11"/>
  <c r="F22" i="11" s="1"/>
  <c r="D8" i="2" l="1"/>
  <c r="E15" i="9"/>
  <c r="H32" i="10"/>
  <c r="J32" i="10" s="1"/>
  <c r="D17" i="11"/>
  <c r="D22" i="11" s="1"/>
  <c r="S44" i="9"/>
  <c r="D27" i="11"/>
  <c r="J26" i="10"/>
  <c r="J39" i="10" s="1"/>
  <c r="H39" i="10"/>
  <c r="J24" i="10"/>
  <c r="G48" i="9"/>
  <c r="G52" i="9" s="1"/>
  <c r="F34" i="11"/>
  <c r="F48" i="11" s="1"/>
  <c r="F52" i="11" s="1"/>
  <c r="H29" i="10"/>
  <c r="F29" i="10" s="1"/>
  <c r="F34" i="10" s="1"/>
  <c r="F38" i="10" s="1"/>
  <c r="H19" i="18" l="1"/>
  <c r="L19" i="18" s="1"/>
  <c r="M19" i="18" s="1"/>
  <c r="D26" i="11"/>
  <c r="D34" i="11" s="1"/>
  <c r="D48" i="11" s="1"/>
  <c r="E17" i="9"/>
  <c r="E25" i="9" s="1"/>
  <c r="E52" i="9" s="1"/>
  <c r="H20" i="18"/>
  <c r="L20" i="18" s="1"/>
  <c r="S16" i="9"/>
  <c r="D50" i="11"/>
  <c r="F58" i="11"/>
  <c r="H34" i="10"/>
  <c r="H38" i="10" s="1"/>
  <c r="J29" i="10"/>
  <c r="D52" i="11" l="1"/>
  <c r="D58" i="11" s="1"/>
  <c r="H23" i="18"/>
  <c r="T13" i="7"/>
  <c r="T20" i="7" s="1"/>
  <c r="T13" i="9"/>
  <c r="T14" i="9" s="1"/>
  <c r="L23" i="18"/>
  <c r="M20" i="18"/>
  <c r="J34" i="10"/>
  <c r="J38" i="10" s="1"/>
  <c r="T16" i="7" l="1"/>
  <c r="T45" i="9"/>
  <c r="T20" i="9"/>
  <c r="T22" i="7"/>
  <c r="T29" i="9"/>
  <c r="T43" i="9"/>
  <c r="T37" i="9"/>
  <c r="T31" i="9"/>
  <c r="T36" i="9"/>
  <c r="T35" i="9"/>
  <c r="T21" i="7"/>
  <c r="T44" i="9"/>
  <c r="T16" i="9"/>
  <c r="T14" i="7"/>
  <c r="T21" i="9"/>
  <c r="T22" i="9"/>
  <c r="I14" i="37"/>
  <c r="I16"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luna Itzel saldivar</author>
  </authors>
  <commentList>
    <comment ref="R11" authorId="0" shapeId="0" xr:uid="{9B5A9680-AA93-4036-9F74-B38BE4CC1BD2}">
      <text>
        <r>
          <rPr>
            <sz val="9"/>
            <color indexed="81"/>
            <rFont val="Tahoma"/>
            <family val="2"/>
          </rPr>
          <t>Punto uno de la metodologia 
1.- Identificación de Áreas de Riesgo y Rubros Susceptibles a Error</t>
        </r>
      </text>
    </comment>
    <comment ref="S11" authorId="0" shapeId="0" xr:uid="{5F327CCF-26DB-4027-AF9D-99A9CBCE7CEC}">
      <text>
        <r>
          <rPr>
            <sz val="9"/>
            <color indexed="81"/>
            <rFont val="Tahoma"/>
            <family val="2"/>
          </rPr>
          <t>Punto dos de la metodologia "2.- Análisis de Variaciones y Materialidad en las Cuentas a Septiembre"</t>
        </r>
      </text>
    </comment>
    <comment ref="V11" authorId="0" shapeId="0" xr:uid="{607299F1-4F84-4E74-AC29-100CFED20281}">
      <text>
        <r>
          <rPr>
            <sz val="9"/>
            <color indexed="81"/>
            <rFont val="Tahoma"/>
            <family val="2"/>
          </rPr>
          <t xml:space="preserve"> Punto tres de la Metodologia "3.- Revisión del Dictamen 2023 para Identificar Complicaciones y Ajustes Pendientes"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luna Itzel saldivar</author>
  </authors>
  <commentList>
    <comment ref="R11" authorId="0" shapeId="0" xr:uid="{69590E96-5A7E-43CB-A370-B0493AC709F6}">
      <text>
        <r>
          <rPr>
            <sz val="9"/>
            <color indexed="81"/>
            <rFont val="Tahoma"/>
            <family val="2"/>
          </rPr>
          <t>Punto uno de la metodologia 
1.- Identificación de Áreas de Riesgo y Rubros Susceptibles a Error</t>
        </r>
      </text>
    </comment>
    <comment ref="S11" authorId="0" shapeId="0" xr:uid="{FE2B71AD-EE95-47CB-9CBC-A6CF10888687}">
      <text>
        <r>
          <rPr>
            <sz val="9"/>
            <color indexed="81"/>
            <rFont val="Tahoma"/>
            <family val="2"/>
          </rPr>
          <t>Punto dos de la metodologia "2.- Análisis de Variaciones y Materialidad en las Cuentas a Septiembre"</t>
        </r>
      </text>
    </comment>
  </commentList>
</comments>
</file>

<file path=xl/sharedStrings.xml><?xml version="1.0" encoding="utf-8"?>
<sst xmlns="http://schemas.openxmlformats.org/spreadsheetml/2006/main" count="1791" uniqueCount="764">
  <si>
    <t>Cuenta</t>
  </si>
  <si>
    <t>Scta</t>
  </si>
  <si>
    <t>SSCta</t>
  </si>
  <si>
    <t>Descripción</t>
  </si>
  <si>
    <t>Saldo Inicial</t>
  </si>
  <si>
    <t>Cargos</t>
  </si>
  <si>
    <t>Abonos</t>
  </si>
  <si>
    <t>Saldo Actual</t>
  </si>
  <si>
    <t>BANCOS</t>
  </si>
  <si>
    <t>MONEDA NACIONAL</t>
  </si>
  <si>
    <t>BBVA CTA 0116008208</t>
  </si>
  <si>
    <t>INVEX CTA 05661 COBRANZA</t>
  </si>
  <si>
    <t>INVEX CTA 05662 RESERVA</t>
  </si>
  <si>
    <t>INVERSIONES SISTEMA FINANCIERO</t>
  </si>
  <si>
    <t>ACTINVER 8344681 CUENTA GENERAL</t>
  </si>
  <si>
    <t>ACTINVER 8344681 COMPLEMENTARIA</t>
  </si>
  <si>
    <t>ACTINVER 5371322 CUENTA GENERAL</t>
  </si>
  <si>
    <t>ACTINVER CTA 5371322 COMPLEMENTARIA</t>
  </si>
  <si>
    <t>INVEX CTA 0705 COBRA INVER</t>
  </si>
  <si>
    <t>INVEX CTA 0705 COBRA INVER COMPLEMENTARI</t>
  </si>
  <si>
    <t>INVEX CTA 0732 RESERVA INVER</t>
  </si>
  <si>
    <t>INVEX CTA 0732 RESERVA INVER COMPLEMENTA</t>
  </si>
  <si>
    <t>CLIENTES</t>
  </si>
  <si>
    <t>CLIENTES M.N.</t>
  </si>
  <si>
    <t>DEUDORES DIVERSOS</t>
  </si>
  <si>
    <t>DEUDORES DIVERSOS M.N.</t>
  </si>
  <si>
    <t>ANTICIPO DE IMPUESTOS</t>
  </si>
  <si>
    <t>ISR</t>
  </si>
  <si>
    <t>ISR PAGO PROVISIONALES</t>
  </si>
  <si>
    <t>IVA</t>
  </si>
  <si>
    <t>ISR RETENCIONES BANCOS</t>
  </si>
  <si>
    <t>IMPUESTOS A FAVOR</t>
  </si>
  <si>
    <t>IVA SALDO A FAVOR</t>
  </si>
  <si>
    <t>IVA SALDO A FAVOR AL 16%</t>
  </si>
  <si>
    <t>IMPUESTOS A FAVOR NO CAUSADO</t>
  </si>
  <si>
    <t>IVA ACREDITABLE NO PAGADO</t>
  </si>
  <si>
    <t>IVA ACREDITABLE NO PAGADO AL 16%</t>
  </si>
  <si>
    <t>ANTICIPOS CONSTRUCCION</t>
  </si>
  <si>
    <t>ANTICIPOS CONSTRUCCION M.N.</t>
  </si>
  <si>
    <t>TERRENOS</t>
  </si>
  <si>
    <t>INVERSIÓN</t>
  </si>
  <si>
    <t>TERRENO LOTE 18 0980616001000000</t>
  </si>
  <si>
    <t>TERRENO L-19 No, CAT. 0980616002000000</t>
  </si>
  <si>
    <t>TERRENO L-20 CLAVE No. 0980616003000000</t>
  </si>
  <si>
    <t>TERRENO MADIN CLAVE No: 1000676303000000</t>
  </si>
  <si>
    <t>CONSTRUCCIONES EN PROCESO</t>
  </si>
  <si>
    <t>SUBCONTRATO (HARD-COST)</t>
  </si>
  <si>
    <t>PRELIMINARES EDIFICACIÓN</t>
  </si>
  <si>
    <t>PAVIMENTACIÓN</t>
  </si>
  <si>
    <t>INSTALACIÓN ELÉCTRICA</t>
  </si>
  <si>
    <t>ADMINISTRATIVOS</t>
  </si>
  <si>
    <t>HONORARIOS PERSONAS MORALES</t>
  </si>
  <si>
    <t>HONORARIOS PERSONAS FISICAS</t>
  </si>
  <si>
    <t>PREDIAL Y AGUA</t>
  </si>
  <si>
    <t>PRE Y POST OPERATIVOS (SOFT-COST)</t>
  </si>
  <si>
    <t>TERRENO</t>
  </si>
  <si>
    <t>COMPRA DE TERRENO</t>
  </si>
  <si>
    <t>ESTUDIOS</t>
  </si>
  <si>
    <t>TRAMITES MUNICIPALES</t>
  </si>
  <si>
    <t>TRAMITES ESTATALES</t>
  </si>
  <si>
    <t>TRAMITES FEDERALES</t>
  </si>
  <si>
    <t>ANTEPPROYECTO</t>
  </si>
  <si>
    <t>PROYECTO EJECUTIVO</t>
  </si>
  <si>
    <t>INGENIERIAS</t>
  </si>
  <si>
    <t>SERVICIOS</t>
  </si>
  <si>
    <t>FINANCIEROS</t>
  </si>
  <si>
    <t>ADMINISTRATIVOS DE OBRA</t>
  </si>
  <si>
    <t>ASESORIA Y GASTOS LEGALES</t>
  </si>
  <si>
    <t>COMERCIALIZACION PREOPERATIVOS</t>
  </si>
  <si>
    <t>COMERCIALIZACION/FACTURACION</t>
  </si>
  <si>
    <t>COMERCIALIZACION</t>
  </si>
  <si>
    <t>EQUIPO DE COMPUTO</t>
  </si>
  <si>
    <t>INVERSION EQUIPO DE COMPUTO</t>
  </si>
  <si>
    <t>INVERSIÓN EQP COMPUTO</t>
  </si>
  <si>
    <t>DEPRECIACIÓN EQP COMPUTO</t>
  </si>
  <si>
    <t>DEPOSITOS EN GARANTIA</t>
  </si>
  <si>
    <t>DEPOSITOS EN GARANTIA M.N.</t>
  </si>
  <si>
    <t>PROVEEDORES</t>
  </si>
  <si>
    <t>PROVEEDORES M.N.</t>
  </si>
  <si>
    <t>PROVEEDORES M.E.</t>
  </si>
  <si>
    <t xml:space="preserve">PROVEEDORES COMPLEMENTARIA </t>
  </si>
  <si>
    <t>ACREEDORES DIVERSOS</t>
  </si>
  <si>
    <t>ACREEDORES M.N.</t>
  </si>
  <si>
    <t>IMPUESTOS POR PAGAR</t>
  </si>
  <si>
    <t>ISR RETENCIONES SERVICIOS PROFESIONALES</t>
  </si>
  <si>
    <t>ISR RETENCIONES EFECTIVAMENTE PAGADO</t>
  </si>
  <si>
    <t>IVA POR PAGAR 16%</t>
  </si>
  <si>
    <t>IVA RETENIDO SERVICIOS PROFESIONALES</t>
  </si>
  <si>
    <t>IVA RETENIDO EFECTIVAMENTE PAGADO</t>
  </si>
  <si>
    <t>IMPUESTOS NO CAUSADOS</t>
  </si>
  <si>
    <t>IVA TRASLADADO NO COBRADO</t>
  </si>
  <si>
    <t>IVA TRASLADADO NO COBRADO AL 16%</t>
  </si>
  <si>
    <t>DOCUMENTOS POR PAGAR L.P.</t>
  </si>
  <si>
    <t>FIDEICOMISO IRREVOCABLE NUMERO 3518</t>
  </si>
  <si>
    <t>NXX CAPITAL MEZZI, SAPI DE CV SOFOM EN R</t>
  </si>
  <si>
    <t>PATRIMONIO</t>
  </si>
  <si>
    <t>RESULTADO DEL EJERCICIO</t>
  </si>
  <si>
    <t>UTILIDADES ACUMULADAS</t>
  </si>
  <si>
    <t>EJERCICIO 2020</t>
  </si>
  <si>
    <t>PERDIDAS ACUMULADAS</t>
  </si>
  <si>
    <t>EJERCICIO 2019</t>
  </si>
  <si>
    <t>EJERCICIO 2021</t>
  </si>
  <si>
    <t>EJERCICIO 2022</t>
  </si>
  <si>
    <t>INGRESOS POR INTERESES</t>
  </si>
  <si>
    <t>GASTOS DE ADMINISTRACIÓN</t>
  </si>
  <si>
    <t>GASTOS NO DEDUCIBLES</t>
  </si>
  <si>
    <t>DEPRECIACION DEL EJERCICIO</t>
  </si>
  <si>
    <t>DEPRECIACION EQUIPO DE COMPUTO</t>
  </si>
  <si>
    <t>PRODUCTOS FINANCIEROS</t>
  </si>
  <si>
    <t>INTERESES GANADOS</t>
  </si>
  <si>
    <t>UTILIDAD CAMBIARIA</t>
  </si>
  <si>
    <t>GASTOS FINANCIEROS</t>
  </si>
  <si>
    <t>COMISIONES BANCARIAS</t>
  </si>
  <si>
    <t>PERDIDA CAMBIARIA</t>
  </si>
  <si>
    <t>OTROS PRODUCTOS</t>
  </si>
  <si>
    <t>OTROS INGRESOS</t>
  </si>
  <si>
    <t>OTROS GASTOS</t>
  </si>
  <si>
    <t>RECARGOS</t>
  </si>
  <si>
    <t>Total General:</t>
  </si>
  <si>
    <t>Activo</t>
  </si>
  <si>
    <t>Pasivo</t>
  </si>
  <si>
    <t>Efectivo y equivalentes de efectivo</t>
  </si>
  <si>
    <t>Deudores diversos y otras cuentas por cobrar</t>
  </si>
  <si>
    <t>Impuestos por recuperar</t>
  </si>
  <si>
    <t>Inventarios inmobiliarios pagados por anticipado</t>
  </si>
  <si>
    <t>Acreedores diversos</t>
  </si>
  <si>
    <t>Impuestos por pagar</t>
  </si>
  <si>
    <t>Otras aportaciones del fideicomitente</t>
  </si>
  <si>
    <t xml:space="preserve">Préstamos a largo plazo  </t>
  </si>
  <si>
    <t>Depósitos en garantía recibidos</t>
  </si>
  <si>
    <t>Aportaciones</t>
  </si>
  <si>
    <t>Resultados acumulados</t>
  </si>
  <si>
    <t>Intereses a favor</t>
  </si>
  <si>
    <t>Otros ingresos</t>
  </si>
  <si>
    <t>Rubro</t>
  </si>
  <si>
    <t>Balance</t>
  </si>
  <si>
    <t>Clasificación</t>
  </si>
  <si>
    <t>Plazo</t>
  </si>
  <si>
    <t>Corto plazo</t>
  </si>
  <si>
    <t>Largo Plazo</t>
  </si>
  <si>
    <t>Capital</t>
  </si>
  <si>
    <t>Resultado del ejercicio</t>
  </si>
  <si>
    <t>Ingresos</t>
  </si>
  <si>
    <t>1030BANCOS</t>
  </si>
  <si>
    <t>1031MONEDA NACIONAL</t>
  </si>
  <si>
    <t>1031BBVA CTA 0116008208</t>
  </si>
  <si>
    <t>1031INVEX CTA 05661 COBRANZA</t>
  </si>
  <si>
    <t>1031INVEX CTA 05662 RESERVA</t>
  </si>
  <si>
    <t>1040INVERSIONES SISTEMA FINANCIERO</t>
  </si>
  <si>
    <t>1041MONEDA NACIONAL</t>
  </si>
  <si>
    <t>1041ACTINVER 8344681 CUENTA GENERAL</t>
  </si>
  <si>
    <t>1041ACTINVER 8344681 COMPLEMENTARIA</t>
  </si>
  <si>
    <t>1041ACTINVER 5371322 CUENTA GENERAL</t>
  </si>
  <si>
    <t>1041ACTINVER CTA 5371322 COMPLEMENTARIA</t>
  </si>
  <si>
    <t>1041INVEX CTA 0705 COBRA INVER</t>
  </si>
  <si>
    <t>1041INVEX CTA 0705 COBRA INVER COMPLEMENTARI</t>
  </si>
  <si>
    <t>1041INVEX CTA 0732 RESERVA INVER</t>
  </si>
  <si>
    <t>1041INVEX CTA 0732 RESERVA INVER COMPLEMENTA</t>
  </si>
  <si>
    <t>1080CLIENTES</t>
  </si>
  <si>
    <t>1081CLIENTES M.N.</t>
  </si>
  <si>
    <t>1090DEUDORES DIVERSOS</t>
  </si>
  <si>
    <t>1091DEUDORES DIVERSOS M.N.</t>
  </si>
  <si>
    <t>1130ANTICIPO DE IMPUESTOS</t>
  </si>
  <si>
    <t>1131ISR</t>
  </si>
  <si>
    <t>1131ISR PAGO PROVISIONALES</t>
  </si>
  <si>
    <t>1131ISR RETENCIONES BANCOS</t>
  </si>
  <si>
    <t>1140IMPUESTOS A FAVOR</t>
  </si>
  <si>
    <t>1141IVA SALDO A FAVOR</t>
  </si>
  <si>
    <t>1141IVA SALDO A FAVOR AL 16%</t>
  </si>
  <si>
    <t>1150IMPUESTOS A FAVOR NO CAUSADO</t>
  </si>
  <si>
    <t>1151IVA ACREDITABLE NO PAGADO</t>
  </si>
  <si>
    <t>1151IVA ACREDITABLE NO PAGADO AL 16%</t>
  </si>
  <si>
    <t>1200ANTICIPOS CONSTRUCCION</t>
  </si>
  <si>
    <t>1201ANTICIPOS CONSTRUCCION M.N.</t>
  </si>
  <si>
    <t>1210TERRENOS</t>
  </si>
  <si>
    <t>1211INVERSIÓN</t>
  </si>
  <si>
    <t>1211TERRENO LOTE 18 0980616001000000</t>
  </si>
  <si>
    <t>1211TERRENO L-19 No, CAT. 0980616002000000</t>
  </si>
  <si>
    <t>1211TERRENO L-20 CLAVE No. 0980616003000000</t>
  </si>
  <si>
    <t>1211TERRENO MADIN CLAVE No: 1000676303000000</t>
  </si>
  <si>
    <t>1230CONSTRUCCIONES EN PROCESO</t>
  </si>
  <si>
    <t>1234SUBCONTRATO (HARD-COST)</t>
  </si>
  <si>
    <t>1234PRELIMINARES EDIFICACIÓN</t>
  </si>
  <si>
    <t>1234PAVIMENTACIÓN</t>
  </si>
  <si>
    <t>1234INSTALACIÓN ELÉCTRICA</t>
  </si>
  <si>
    <t>1236ADMINISTRATIVOS</t>
  </si>
  <si>
    <t>1236HONORARIOS PERSONAS MORALES</t>
  </si>
  <si>
    <t>1236HONORARIOS PERSONAS FISICAS</t>
  </si>
  <si>
    <t>1236PREDIAL Y AGUA</t>
  </si>
  <si>
    <t>1237PRE Y POST OPERATIVOS (SOFT-COST)</t>
  </si>
  <si>
    <t>1237TERRENO</t>
  </si>
  <si>
    <t>1237COMPRA DE TERRENO</t>
  </si>
  <si>
    <t>1237ESTUDIOS</t>
  </si>
  <si>
    <t>1237TRAMITES MUNICIPALES</t>
  </si>
  <si>
    <t>1237TRAMITES ESTATALES</t>
  </si>
  <si>
    <t>1237TRAMITES FEDERALES</t>
  </si>
  <si>
    <t>1237ANTEPPROYECTO</t>
  </si>
  <si>
    <t>1237PROYECTO EJECUTIVO</t>
  </si>
  <si>
    <t>1237INGENIERIAS</t>
  </si>
  <si>
    <t>1237SERVICIOS</t>
  </si>
  <si>
    <t>1237FINANCIEROS</t>
  </si>
  <si>
    <t>1237ADMINISTRATIVOS DE OBRA</t>
  </si>
  <si>
    <t>1237ASESORIA Y GASTOS LEGALES</t>
  </si>
  <si>
    <t>1237COMERCIALIZACION PREOPERATIVOS</t>
  </si>
  <si>
    <t>1239COMERCIALIZACION/FACTURACION</t>
  </si>
  <si>
    <t>1250EQUIPO DE COMPUTO</t>
  </si>
  <si>
    <t>1251INVERSION EQUIPO DE COMPUTO</t>
  </si>
  <si>
    <t>1251INVERSIÓN EQP COMPUTO</t>
  </si>
  <si>
    <t>1251DEPRECIACIÓN EQP COMPUTO</t>
  </si>
  <si>
    <t>1730DEPOSITOS EN GARANTIA</t>
  </si>
  <si>
    <t>1731DEPOSITOS EN GARANTIA M.N.</t>
  </si>
  <si>
    <t>2010PROVEEDORES</t>
  </si>
  <si>
    <t>2011PROVEEDORES M.N.</t>
  </si>
  <si>
    <t>2012PROVEEDORES M.E.</t>
  </si>
  <si>
    <t xml:space="preserve">201200PROVEEDORES COMPLEMENTARIA </t>
  </si>
  <si>
    <t>2020ACREEDORES DIVERSOS</t>
  </si>
  <si>
    <t>2021ACREEDORES M.N.</t>
  </si>
  <si>
    <t>2180IMPUESTOS POR PAGAR</t>
  </si>
  <si>
    <t>2181ISR</t>
  </si>
  <si>
    <t>2181ISR RETENCIONES SERVICIOS PROFESIONALES</t>
  </si>
  <si>
    <t>2181ISR RETENCIONES EFECTIVAMENTE PAGADO</t>
  </si>
  <si>
    <t>2182IVA</t>
  </si>
  <si>
    <t>2182IVA POR PAGAR 16%</t>
  </si>
  <si>
    <t>2182IVA RETENIDO SERVICIOS PROFESIONALES</t>
  </si>
  <si>
    <t>2182IVA RETENIDO EFECTIVAMENTE PAGADO</t>
  </si>
  <si>
    <t>2190IMPUESTOS NO CAUSADOS</t>
  </si>
  <si>
    <t>2191IVA TRASLADADO NO COBRADO</t>
  </si>
  <si>
    <t>2191IVA TRASLADADO NO COBRADO AL 16%</t>
  </si>
  <si>
    <t>2230DOCUMENTOS POR PAGAR L.P.</t>
  </si>
  <si>
    <t>2231MONEDA NACIONAL</t>
  </si>
  <si>
    <t>2231FIDEICOMISO IRREVOCABLE NUMERO 3518</t>
  </si>
  <si>
    <t>2231NXX CAPITAL MEZZI, SAPI DE CV SOFOM EN R</t>
  </si>
  <si>
    <t>2240DEPOSITOS EN GARANTIA</t>
  </si>
  <si>
    <t>2241DEPOSITOS EN GARANTIA M.N.</t>
  </si>
  <si>
    <t>3010PATRIMONIO</t>
  </si>
  <si>
    <t>3011PATRIMONIO</t>
  </si>
  <si>
    <t>3011FIDEICOMISO IRREVOCABLE NUMERO 3518</t>
  </si>
  <si>
    <t>3040RESULTADO DEL EJERCICIO</t>
  </si>
  <si>
    <t>3041RESULTADO DEL EJERCICIO</t>
  </si>
  <si>
    <t>3050UTILIDADES ACUMULADAS</t>
  </si>
  <si>
    <t>3051EJERCICIO 2020</t>
  </si>
  <si>
    <t>3070PERDIDAS ACUMULADAS</t>
  </si>
  <si>
    <t>3071EJERCICIO 2019</t>
  </si>
  <si>
    <t>3072EJERCICIO 2021</t>
  </si>
  <si>
    <t>3073EJERCICIO 2022</t>
  </si>
  <si>
    <t>4070INGRESOS POR INTERESES</t>
  </si>
  <si>
    <t>4071INGRESOS POR INTERESES</t>
  </si>
  <si>
    <t>6010GASTOS DE ADMINISTRACIÓN</t>
  </si>
  <si>
    <t>60122GASTOS NO DEDUCIBLES</t>
  </si>
  <si>
    <t>601101DEPRECIACION DEL EJERCICIO</t>
  </si>
  <si>
    <t>601101DEPRECIACION EQUIPO DE COMPUTO</t>
  </si>
  <si>
    <t>7010PRODUCTOS FINANCIEROS</t>
  </si>
  <si>
    <t>7011INTERESES GANADOS</t>
  </si>
  <si>
    <t>7012UTILIDAD CAMBIARIA</t>
  </si>
  <si>
    <t>7020GASTOS FINANCIEROS</t>
  </si>
  <si>
    <t>7022COMISIONES BANCARIAS</t>
  </si>
  <si>
    <t>7023PERDIDA CAMBIARIA</t>
  </si>
  <si>
    <t>7510OTROS PRODUCTOS</t>
  </si>
  <si>
    <t>7512OTROS INGRESOS</t>
  </si>
  <si>
    <t>7520OTROS GASTOS</t>
  </si>
  <si>
    <t>7522RECARGOS</t>
  </si>
  <si>
    <t>Activos</t>
  </si>
  <si>
    <t>Nota</t>
  </si>
  <si>
    <t>Activo circulante:</t>
  </si>
  <si>
    <t>3a y 4</t>
  </si>
  <si>
    <t>3b</t>
  </si>
  <si>
    <t>Total activo circulante</t>
  </si>
  <si>
    <t>Activo no circulante:</t>
  </si>
  <si>
    <t>3c y 5</t>
  </si>
  <si>
    <t>3d</t>
  </si>
  <si>
    <t>Total activo no circulante</t>
  </si>
  <si>
    <t>Total activo</t>
  </si>
  <si>
    <t>Pasivos</t>
  </si>
  <si>
    <t>Pasivo circulante:</t>
  </si>
  <si>
    <t>Total pasivo circulante</t>
  </si>
  <si>
    <t>Pasivo no circulante:</t>
  </si>
  <si>
    <t>Total pasivo No circulante</t>
  </si>
  <si>
    <t>Total pasivo</t>
  </si>
  <si>
    <t>Patrimonio del Fideicomiso</t>
  </si>
  <si>
    <t>Total del Patrimonio</t>
  </si>
  <si>
    <t>Total de pasivo y Patrimonio</t>
  </si>
  <si>
    <t>Fideicomiso Irrevocable 4341</t>
  </si>
  <si>
    <t>Estados de posición financiera</t>
  </si>
  <si>
    <t xml:space="preserve"> (En miles de pesos)</t>
  </si>
  <si>
    <t>Las notas adjuntas son parte de los estados financieros.</t>
  </si>
  <si>
    <t>Otras aportaciones del Fideicomitente</t>
  </si>
  <si>
    <t>Resultados</t>
  </si>
  <si>
    <t>Estados de resultados</t>
  </si>
  <si>
    <t>Gastos operativos</t>
  </si>
  <si>
    <t>Resultado de operación</t>
  </si>
  <si>
    <t>Resultado Integral de Financiamiento</t>
  </si>
  <si>
    <t>Intereses a cargo</t>
  </si>
  <si>
    <t>2023M</t>
  </si>
  <si>
    <t>VARIOS</t>
  </si>
  <si>
    <t>Estado de variaciones en el patrimonio</t>
  </si>
  <si>
    <t>Patrimonio</t>
  </si>
  <si>
    <t xml:space="preserve">Total de </t>
  </si>
  <si>
    <t>patrimonio</t>
  </si>
  <si>
    <t>Movimientos inherentes a las decisiones de los accionistas-</t>
  </si>
  <si>
    <t>Traspaso a resultados acumulados</t>
  </si>
  <si>
    <t>Movimientos inherentes al reconocimiento del resultado del ejercicio-</t>
  </si>
  <si>
    <t>Estados de flujos de efectivo</t>
  </si>
  <si>
    <t>Actividades de operación:</t>
  </si>
  <si>
    <t>Partidas relacionadas con actividades de financiamiento:</t>
  </si>
  <si>
    <t>Flujos netos de efectivo utilizados en actividades de operación</t>
  </si>
  <si>
    <t>Actividades de inversión:</t>
  </si>
  <si>
    <t>Flujos netos de efectivo utilizados en actividades de inversión</t>
  </si>
  <si>
    <t>Actividades de financiamiento:</t>
  </si>
  <si>
    <t>Préstamos bancarios</t>
  </si>
  <si>
    <t>Aumento neto de efectivo y equivalentes de efectivo</t>
  </si>
  <si>
    <t>Efectivo y equivalentes de efectivo al inicio del periodo</t>
  </si>
  <si>
    <t>Efectivo y equivalentes de efectivo al final del periodo</t>
  </si>
  <si>
    <t>Depósitos en cuenta de cheques</t>
  </si>
  <si>
    <t>Inversiones en valores realizables</t>
  </si>
  <si>
    <t xml:space="preserve">Total </t>
  </si>
  <si>
    <t>Check</t>
  </si>
  <si>
    <t>Impuesto al Valor Agregado</t>
  </si>
  <si>
    <t>ISR Retenido</t>
  </si>
  <si>
    <t>Principal del crédito</t>
  </si>
  <si>
    <t>Para el cumplimiento de su modelo de negocio, el Fideicomiso ha recibido diversas aportaciones del Fideicomiso Fortem CKD 18, las cuales se clasifican en el pasivo según la NIF C 11 y la NIF C 12, principalmente porque estas obligaciones a cargo del Fideicomiso, deben ser cubiertas en efectivo o en su caso, con otros activos diferentes a los Instrumentos financieros de capital/patrimonio del mismo Fideicomiso.</t>
  </si>
  <si>
    <t>Compañía</t>
  </si>
  <si>
    <t>Porcentaje de participación</t>
  </si>
  <si>
    <t>Fideicomiso Irrevocable No. 3518 (Banco Actinver, S.A., Institución de Banca Múltiple, Grupo Financiero Actinver, División Fiduciaria) (el “Fideicomiso Fortem CKD 18”)</t>
  </si>
  <si>
    <t xml:space="preserve">Total de aportaciones </t>
  </si>
  <si>
    <t>Hasta un año</t>
  </si>
  <si>
    <t>Mayor a un año</t>
  </si>
  <si>
    <t>Total</t>
  </si>
  <si>
    <t>Por pagar:</t>
  </si>
  <si>
    <t>Fideicomiso Fortem CKD 18</t>
  </si>
  <si>
    <t>Nombre Linea 1:</t>
  </si>
  <si>
    <t>Nombre Linea 2:</t>
  </si>
  <si>
    <t>Fecha del Balance:</t>
  </si>
  <si>
    <t>Fecha del Estado de resultdos:</t>
  </si>
  <si>
    <t>Año actual:</t>
  </si>
  <si>
    <t>Año anterior:</t>
  </si>
  <si>
    <t>Datos del documento</t>
  </si>
  <si>
    <t>Contenido</t>
  </si>
  <si>
    <t>Página</t>
  </si>
  <si>
    <t>Informe de los auditores independientes</t>
  </si>
  <si>
    <t>Estados de cambios en el patrimonio</t>
  </si>
  <si>
    <t>Notas a los estados financieros</t>
  </si>
  <si>
    <t xml:space="preserve">Al Comité Técnico y Administrador de </t>
  </si>
  <si>
    <t>Fundamento de la opinión</t>
  </si>
  <si>
    <t>Responsabilidades de la administración y de los responsables del gobierno del Fideicomiso en relación con los estados financieros</t>
  </si>
  <si>
    <t>En la preparación de los estados financieros, la administración es responsable de la valoración de la capacidad del Fideicomiso de continuar como empresa en funcionamiento, revelando, según corresponda, las cuestiones relacionadas con la Empresa en funcionamiento y utilizando el principio contable de empresa en funcionamiento excepto si la administración tiene intención de liquidar el Fideicomiso o de cesar sus operaciones, o bien no existe otra alternativa realista.</t>
  </si>
  <si>
    <t>Los responsables del gobierno del Fideicomiso son responsables de la supervisión del proceso de información financiera del Fideicomiso.</t>
  </si>
  <si>
    <t>Nuestros objetivos son obtener una seguridad razonable de que los estados financieros en su conjunto están libres de incorrección material, debida a fraude o error, y emitir un informe de auditoría que contiene nuestra opinión. Seguridad razonable es un alto grado de seguridad, pero no garantiza que una auditoría realizada de conformidad con las NIA siempre detecte una incorrección material cuando existe. Las incorrecciones pueden deberse a fraude o error y se consideran materiales si, individualmente o de forma agregada, puede preverse razonablemente que influyan en las decisiones económicas que los usuarios toman basándose en los estados financieros.</t>
  </si>
  <si>
    <t>Como parte de una auditoría de conformidad con las NIA, aplicamos nuestro juicio profesional y mantenemos una actitud de escepticismo profesional durante toda la auditoría. También:</t>
  </si>
  <si>
    <r>
      <t>·</t>
    </r>
    <r>
      <rPr>
        <sz val="7"/>
        <color rgb="FF000000"/>
        <rFont val="Times New Roman"/>
        <family val="1"/>
      </rPr>
      <t xml:space="preserve">        </t>
    </r>
    <r>
      <rPr>
        <sz val="8.5"/>
        <color rgb="FF000000"/>
        <rFont val="Trebuchet MS"/>
        <family val="2"/>
      </rPr>
      <t>Identificamos y valoramos los riesgos de incorrección material en los estados financieros, debida a fraude o error, diseñamos y aplicamos procedimientos de auditoría para responder a dichos riesgos y obtenemos evidencia de auditoría suficiente y adecuada para proporcionar una base para nuestra opinión. El riesgo de no detectar una incorrección material debida a fraude es más elevado que en el caso de una incorrección material debida a error, ya que el fraude puede implicar colusión, falsificación, omisiones deliberadas, manifestaciones intencionadamente erróneas o la elusión del control interno.</t>
    </r>
  </si>
  <si>
    <r>
      <t>·</t>
    </r>
    <r>
      <rPr>
        <sz val="7"/>
        <color rgb="FF000000"/>
        <rFont val="Times New Roman"/>
        <family val="1"/>
      </rPr>
      <t xml:space="preserve">        </t>
    </r>
    <r>
      <rPr>
        <sz val="8.5"/>
        <color rgb="FF000000"/>
        <rFont val="Trebuchet MS"/>
        <family val="2"/>
      </rPr>
      <t>Obtenemos conocimiento del control interno relevante para la auditoría con el fin de diseñar procedimientos de auditoría que sean adecuados en función de las circunstancias y no con la finalidad de expresar una opinión sobre la eficacia del control interno de la entidad.</t>
    </r>
  </si>
  <si>
    <r>
      <t>·</t>
    </r>
    <r>
      <rPr>
        <sz val="7"/>
        <color rgb="FF000000"/>
        <rFont val="Times New Roman"/>
        <family val="1"/>
      </rPr>
      <t xml:space="preserve">        </t>
    </r>
    <r>
      <rPr>
        <sz val="8.5"/>
        <color rgb="FF000000"/>
        <rFont val="Trebuchet MS"/>
        <family val="2"/>
      </rPr>
      <t>Evaluamos la adecuación de las políticas contables aplicadas y la razonabilidad de las estimaciones contables y la correspondiente información revelada por la administración.</t>
    </r>
  </si>
  <si>
    <r>
      <t>·</t>
    </r>
    <r>
      <rPr>
        <sz val="7"/>
        <color rgb="FF000000"/>
        <rFont val="Times New Roman"/>
        <family val="1"/>
      </rPr>
      <t xml:space="preserve">        </t>
    </r>
    <r>
      <rPr>
        <sz val="8.5"/>
        <color rgb="FF000000"/>
        <rFont val="Trebuchet MS"/>
        <family val="2"/>
      </rPr>
      <t>Concluimos sobre lo adecuado de la utilización, por la administración, del principio contable de empresa en funcionamiento y basándonos en la evidencia de auditoría obtenida, concluimos sobre si existe o no una incertidumbre material relacionada con hechos o con condiciones que pueden generar dudas significativas sobre la capacidad del Fideicomiso para continuar como empresa en funcionamiento. Si concluimos que existe una incertidumbre material, se requiere que llamemos la atención en nuestro informe de auditoría sobre la correspondiente información revelada en los estados financieros o, si dichas revelaciones no son adecuadas, que expresemos una opinión modificada. Nuestras conclusiones se basan en la evidencia de auditoría obtenida hasta la fecha de nuestro informe de auditoría. Sin embargo, hechos o condiciones futuros pueden ser causa de que la Sociedad deje de ser uno empresa en funcionamiento.</t>
    </r>
  </si>
  <si>
    <r>
      <t>·</t>
    </r>
    <r>
      <rPr>
        <sz val="7"/>
        <color rgb="FF000000"/>
        <rFont val="Times New Roman"/>
        <family val="1"/>
      </rPr>
      <t xml:space="preserve">        </t>
    </r>
    <r>
      <rPr>
        <sz val="8.5"/>
        <color rgb="FF000000"/>
        <rFont val="Trebuchet MS"/>
        <family val="2"/>
      </rPr>
      <t>Evaluamos la presentación global, la estructura y el contenido de los estados financieros, incluida la información revelada, y si los estados financieros representan las transacciones y hechos subyacentes de un modo que logran la presentación fiel.</t>
    </r>
  </si>
  <si>
    <t>L. C. C. Belén Arias Martínez</t>
  </si>
  <si>
    <t>Cédula Profesional 4514685</t>
  </si>
  <si>
    <t>No. REG.AGAFF.18344</t>
  </si>
  <si>
    <t>$</t>
  </si>
  <si>
    <t>Notas a los Estados Financieros</t>
  </si>
  <si>
    <r>
      <t>1.</t>
    </r>
    <r>
      <rPr>
        <b/>
        <sz val="7"/>
        <color rgb="FF000000"/>
        <rFont val="Times New Roman"/>
        <family val="1"/>
      </rPr>
      <t>  </t>
    </r>
    <r>
      <rPr>
        <b/>
        <sz val="10"/>
        <color rgb="FF000000"/>
        <rFont val="Trebuchet MS"/>
        <family val="2"/>
      </rPr>
      <t>Naturaleza del Fideicomiso y características más importantes</t>
    </r>
  </si>
  <si>
    <t>El Fideicomiso Irrevocable 4341 FORTMCK 19-12 Lomas Verdes (Banco Actinver, S. A., Institución de Banca Múltiple, Grupo Financiero Actinver, Fiduciario) (el “Fideicomiso”), se constituyó el 3 de octubre de 2018 mediante un contrato de fideicomiso irrevocable y de administración, entre Fortem Capital I, S.C. (Administrador), Fideicomiso Irrevocable No. 3518 (Banco Actinver, S.A., Institución de Banca Múltiple, Grupo Financiero Actinver, División Fiduciaria) (el “Fideicomiso Fortem CKD 18”) como Fideicomitente y Fideicomisario; y Banco Actinver, S.A., Institución de Banca Múltiple, Grupo financiero Actinver, División Fiduciaria, como fiduciario.</t>
  </si>
  <si>
    <t>El Fideicomitente y fideicomisario acordaron que la denominación del Fideicomiso sea Fideicomiso FORTMCK 19-12 Lomas Verdes y que el mismo no realizará actividades empresariales.</t>
  </si>
  <si>
    <t>El domicilio del Fideicomiso es Av. Santa Fe, No. 505, Interior 802, Santa Fe Cuajimalpa, C.P 05348, Ciudad de México.</t>
  </si>
  <si>
    <r>
      <t>a.</t>
    </r>
    <r>
      <rPr>
        <b/>
        <i/>
        <sz val="7"/>
        <color rgb="FF000000"/>
        <rFont val="Times New Roman"/>
        <family val="1"/>
      </rPr>
      <t xml:space="preserve">                  </t>
    </r>
    <r>
      <rPr>
        <b/>
        <i/>
        <sz val="10"/>
        <color rgb="FF000000"/>
        <rFont val="Trebuchet MS"/>
        <family val="2"/>
      </rPr>
      <t>Proyecto</t>
    </r>
  </si>
  <si>
    <t>El proyecto de Lomas Verdes fue presentado y autorizado por el Comité Técnico del Fideicomiso Fortem CKD 18, con las siguientes características:</t>
  </si>
  <si>
    <r>
      <t>·</t>
    </r>
    <r>
      <rPr>
        <sz val="7"/>
        <color rgb="FF000000"/>
        <rFont val="Times New Roman"/>
        <family val="1"/>
      </rPr>
      <t xml:space="preserve">        </t>
    </r>
    <r>
      <rPr>
        <sz val="10"/>
        <color rgb="FF000000"/>
        <rFont val="Trebuchet MS"/>
        <family val="2"/>
      </rPr>
      <t>Se trata de un proyecto mayormente residencial denominado “Terralago” ubicado en la zona de Lomas Verdes, en el municipio de Naucalpan de Juárez.</t>
    </r>
  </si>
  <si>
    <r>
      <t>·</t>
    </r>
    <r>
      <rPr>
        <sz val="7"/>
        <color rgb="FF000000"/>
        <rFont val="Times New Roman"/>
        <family val="1"/>
      </rPr>
      <t xml:space="preserve">        </t>
    </r>
    <r>
      <rPr>
        <sz val="10"/>
        <color rgb="FF000000"/>
        <rFont val="Trebuchet MS"/>
        <family val="2"/>
      </rPr>
      <t>Consiste en la urbanización de la propiedad para la construcción de lotes y macro lotes habitacionales para desarrollo de vivienda, y macro lotes para espacios comerciales.</t>
    </r>
  </si>
  <si>
    <r>
      <t>·</t>
    </r>
    <r>
      <rPr>
        <sz val="7"/>
        <color rgb="FF000000"/>
        <rFont val="Times New Roman"/>
        <family val="1"/>
      </rPr>
      <t xml:space="preserve">        </t>
    </r>
    <r>
      <rPr>
        <sz val="10"/>
        <color rgb="FF000000"/>
        <rFont val="Trebuchet MS"/>
        <family val="2"/>
      </rPr>
      <t>El Proyecto considera: (a) un área vendible total de 202,819m2 con la siguiente distribución: (i) 317 lotes unifamiliares con superficies desde 200m2 y 500m2, (ii) 29 macro lotes para desarrollo de vivienda vertical con superficies desde 800m2 hasta 5,600m2 concentrando un total de 87,999m2, (iii) 5 lotes comerciales, y (iv) 8.2 hectáreas de áreas verdes, y (b) un parque central.</t>
    </r>
  </si>
  <si>
    <r>
      <t>·</t>
    </r>
    <r>
      <rPr>
        <sz val="7"/>
        <color rgb="FF000000"/>
        <rFont val="Times New Roman"/>
        <family val="1"/>
      </rPr>
      <t xml:space="preserve">        </t>
    </r>
    <r>
      <rPr>
        <sz val="10"/>
        <color rgb="FF000000"/>
        <rFont val="Trebuchet MS"/>
        <family val="2"/>
      </rPr>
      <t>Hasta septiembre de 2023 el Comité autorizó un presupuesto total de inversión de $1,892,601 de los cuales se han ejercido cerca del 42% y se realizará en 3 etapas.</t>
    </r>
  </si>
  <si>
    <t>El Fideicomiso no cuenta con personal propio, por lo que la Administración y control de sus operaciones se realiza a través de los servicios administrativos proporcionados por el Administrador.</t>
  </si>
  <si>
    <t>Decreto para regular la subcontratación laboral.</t>
  </si>
  <si>
    <t>Sin embargo, como se menciona anteriormente, los fines del Fideicomiso, son las inversiones en proyectos inmobiliarios, las cuales se gestionan a través de terceros especializados, por lo cual la Administración del Fideicomiso ha concluido que los servicios recibidos por parte de sus prestadores de servicios no constituyen subcontratación de personal laboral en los términos de la Reforma, por lo que no ha identificado impactos que revelar en los estados financieros adjuntos.</t>
  </si>
  <si>
    <t>Marco Conceptual. Se modifica la estructura del Marco Conceptual para incluir en una sola NIF las ocho NIF previamente emitidas, relacionadas al Marco Conceptual. Asimismo, se hicieron adecuaciones y/o precisiones relacionadas con, la reestructuración de la jerarquía y descripción de las características cualitativas de los estados financieros, con la definición de activo y pasivo, con aspectos relacionados con temas de valuación, con requerimientos relacionados para lograr que los estados financieros sean útiles a los usuarios y con bases de presentación en cuanto a la compensación y agrupación de partidas de los estados financieros.</t>
  </si>
  <si>
    <t>Uso de juicios y estimaciones</t>
  </si>
  <si>
    <t>La preparación de los estados financieros requiere que la Administración del Fideicomiso efectúe ciertas estimaciones y utilice determinados supuestos para valuar algunas de las partidas de los estados financieros y para efectuar las revelaciones que se requieren en los mismos. Los rubros importantes sujetos a estas estimaciones y suposiciones incluyen el valor en libros de las estimaciones para incobrabilidad de cuentas, inmuebles e inversiones permanentes en acciones. Los resultados reales pueden diferir de estas estimaciones y suposiciones. La administración del Fideicomiso considera que las estimaciones y supuestos utilizados fueron los adecuados en las circunstancias.</t>
  </si>
  <si>
    <t>Moneda funcional y de informe</t>
  </si>
  <si>
    <t xml:space="preserve">Los estados financieros se presentan en moneda de informe peso mexicano, que es igual a la moneda de registro y a su moneda funcional. </t>
  </si>
  <si>
    <t>Para propósitos de revelación en las notas sobre los estados financieros, cuando se hace referencia a pesos o "$", se trata de miles de pesos mexicanos, y cuando se hace referencia a dólares o Dls., se trata de dólares de los Estados Unidos de América.</t>
  </si>
  <si>
    <t>Reconocimiento de los efectos de inflación</t>
  </si>
  <si>
    <t>Al cierre de</t>
  </si>
  <si>
    <r>
      <t xml:space="preserve">Inflación anual </t>
    </r>
    <r>
      <rPr>
        <sz val="10"/>
        <color rgb="FF000000"/>
        <rFont val="Trebuchet MS"/>
        <family val="2"/>
      </rPr>
      <t>(%)</t>
    </r>
  </si>
  <si>
    <t>Acumulada (%)</t>
  </si>
  <si>
    <t>Negocio en Marcha –</t>
  </si>
  <si>
    <t>A continuación, se resumen las políticas de contabilidad más significativas, las cuales han sido aplicadas consistentemente en los años que se presentan, a menos que se especifique lo contrario.</t>
  </si>
  <si>
    <t xml:space="preserve"> </t>
  </si>
  <si>
    <t xml:space="preserve">Las NIF requieren el uso de ciertas estimaciones contables en la preparación de estados financieros. Asimismo, requieren que la Administración ejerza su juicio para definir las políticas de contabilidad que aplicará el Fideicomiso. Los rubros que involucran un mayor grado de juicio o complejidad y los que los supuestos y estimaciones son significativos para los estados financieros se describen en la Nota anterior. </t>
  </si>
  <si>
    <t>El efectivo y equivalentes de efectivo incluye saldos de caja, depósitos bancarios y otros instrumentos financieros de alta liquidez, con riesgos de poca importancia por cambios en su valor. El efectivo y los equivalentes de efectivo se reconocen inicialmente a su valor razonable.</t>
  </si>
  <si>
    <t>Los instrumentos financieros de alta liquidez se valúan con base en el modelo negocios que corresponda para cada tipo de instrumento, esto es, con fines de negociación, para cobrar principal e intereses o para cobrar y vender. Los cambios en el valor razonable se reconocen en el estado de resultado integral conforme se devengan.</t>
  </si>
  <si>
    <t>El efectivo y equivalentes de efectivo denominados en moneda extranjera u otra medida de intercambio, como es el caso de las Unidades de Inversión (UDI), deben convertirse a la medida de intercambio correspondiente a la fecha de cierre de los estados financieros. Los efectos por conversión deben reconocerse en el estado de resultados integral conforme se devenguen.</t>
  </si>
  <si>
    <t xml:space="preserve">Los deudores diversos y otras cuentas por cobrar se reconocen cuando la transacción se realiza, o el bien o servicio es devengado, esto es, cuando de acuerdo con el contrato celebrado se ha transferido el control de los recursos, bienes o servicios. Los deudores diversos y otras cuentas por cobrar se valúan inicialmente al precio de la transacción y posteriormente al precio de la transacción pendiente de cobro, menos las bonificaciones, descuentos o devoluciones y la estimación para perdidas crediticias, en caso de corresponder. </t>
  </si>
  <si>
    <t xml:space="preserve">Cuando se espera que las cuentas por cobrar se recuperen en un periodo de un año o menos desde la fecha de cierre (o en el ciclo normal de operaciones del negocio en el caso que este ciclo exceda este periodo) se presentan como activo circulante. En caso de no cumplir lo mencionado se presentan como activos no circulantes. </t>
  </si>
  <si>
    <t xml:space="preserve">Las pérdidas crediticias esperadas existentes, así́ como las diferencias que surgen de cancelar dichas pérdidas crediticias se presentan formando parte del rubro de gastos. Dichas pérdidas son determinadas (individualmente) (de forma colectiva) atendiendo a las siguientes características: </t>
  </si>
  <si>
    <t>La estimación de pérdidas crediticias esperadas se determina considerando la probabilidad de incumplimiento y la severidad de la pérdida de las cuentas por cobrar con base en la experiencia histórica, condiciones actuales y pronósticos razonables que se observan en el comportamiento de las mismas.</t>
  </si>
  <si>
    <t xml:space="preserve">Las cuentas que se consideran incobrables son canceladas cuando legalmente se han agotado todos los medios de cobro y/o cuando existe una imposibilidad práctica de cobro. </t>
  </si>
  <si>
    <t xml:space="preserve">Las pérdidas generadas por otras cuentas por cobrar, así́ como las reversiones de las mismas se presentan dentro del rubro con el que se relacionan dichas cuentas por cobrar. </t>
  </si>
  <si>
    <t xml:space="preserve">Los inventarios inmobiliarios pagados por anticipado se valúan al monto de efectivo pagado, y se reconocen como activo a partir de la fecha en que se hace dicho pago. </t>
  </si>
  <si>
    <t>Este rubro se compone principalmente por terrenos, construcción en proceso, contraprestaciones por gestión para la adquisición, permisos, uso de suelo, urbanización, revaluación, o disposición de las mismas, avalúos periciales, gastos notariales, comisiones de brokers y diversos estudios que ayudan a determinar la calidad de la inversión, los cuales como política general del Fideicomiso están identificados como un solo activo y por lo tanto, se clasificarán en el rubro de Inventario de Inmuebles una vez que estén terminados y en condiciones de ser comercializados, es decir, cuando hayan sido traspasados todos los beneficios y riesgos inherentes a dichos bienes por parte de los proveedores al Fideicomiso.</t>
  </si>
  <si>
    <t xml:space="preserve">El Fideicomiso ha utilizado los siguientes criterios para la selección del método de depreciación y para la estimación de vidas útiles o porcentajes de depreciación. </t>
  </si>
  <si>
    <t xml:space="preserve">Los gastos de exploración y evaluación capitalizados, cuando se trata de bienes tangibles, se registran como un componente de inmuebles, planta y equipo. </t>
  </si>
  <si>
    <t xml:space="preserve">Todo gasto de exploración y evaluación capitalizados son sujetos a pruebas de deterioro. En caso de indicios de deterioro, la evaluación se realiza para cada área de exploración conjuntamente con el grupo de activos operativos. Las áreas de exploración en las que se han descubierto reservas comprobadas, solo que requieren de mayor gasto antes de que la producción pueda iniciar, son evaluadas continuamente para asegurar que existen reservas comerciales o que el trabajo de exploración adicional se encuentra en curso o planeado. En la medida en que no se espere que el gasto capitalizado sea recuperado se carga a los resultados del ejercicio. </t>
  </si>
  <si>
    <t xml:space="preserve">Los costos administrativos que no son directamente atribuibles a un área en exploración se cargan directamente a los resultados del ejercicio en que se incurren. </t>
  </si>
  <si>
    <t xml:space="preserve">Estos rubros incluyen obligaciones con proveedores y otras cuentas por pagar por compras de terrenos, bienes o servicios adquiridos en el curso normal de las operaciones del Fideicomiso. Se reconocen de manera inicial al precio de la transacción por los bienes y servicios recibidos e incluyen impuestos y cualquier otro importe que el proveedor le haya trasladado a la entidad por cuenta de terceros. </t>
  </si>
  <si>
    <t xml:space="preserve">El reconocimiento posterior se realiza a costo amortizado, que debe incluir, entre otros, los incrementos por el interés efectivo devengado y las disminuciones por los pagos de principal e interés y, en su caso, el efecto de cualquier condonación que se haya obtenido sobre el monto a pagar. Cuando el plazo de pago no excede de un año no debe determinarse su costo amortizado. Cuando se espera pagarlas en un periodo de un año o menos desde la fecha de cierre (o en el ciclo normal de operaciones del negocio en el caso que este ciclo exceda este periodo) se presentan en el pasivo circulante. En caso de no cumplir lo mencionado se presentan en el pasivo no circulante. </t>
  </si>
  <si>
    <t>Dado que el Fideicomiso no realiza actividades empresariales según el artículo 16 del Código Fiscal de la Federación (CFF), éste no está obligado al cálculo y determinación de impuestos a la utilidad conforme a lo dispuesto en el artículo 13 de la Ley del ISR, como resultado de lo anterior, el Fideicomiso no ha reconocido en sus resultados los efectos del impuesto sobre la renta corriente y diferido que corresponden a sus operaciones, así como activos y pasivos y que en su momento serán responsabilidad de los Fideicomitentes informarlos y enterarlos a las autoridades fiscales.</t>
  </si>
  <si>
    <t>El patrimonio del Fideicomiso está integrado de los siguientes bienes y derechos:</t>
  </si>
  <si>
    <t xml:space="preserve">Las transacciones en moneda extranjera se registran inicialmente en la moneda de registro, aplicando el tipo de cambio vigente a la fecha de su operación. Los activos y pasivos denominados en dicha moneda se convierten al tipo de cambio vigente a la fecha del estado de situación financiera. Las diferencias generadas por fluctuaciones en el tipo de cambio entre las fechas de las transacciones y las de su liquidación o valuación al cierre del ejercicio se reconocen en el estado de resultado integral conforme se devenguen, como un componente del RIF, a excepción de aquellas diferencias cambiarias que son capitalizadas conjuntamente con otros componentes del RIF en el costo de los activos calificables. </t>
  </si>
  <si>
    <t>Las obligaciones o pérdidas relacionadas con contingencias se reconocen cuando es probable que sus efectos se materialicen y existan elementos razonables para su cuantificación. Si no existen estos elementos razonables, se incluye revelación en forma cualitativa en las notas a los estados financieros. Los ingresos, utilidades o activos contingentes se reconocen hasta el momento en que existe certeza de su realización.</t>
  </si>
  <si>
    <t>La Administración del Fideicomiso considera éste no realiza actividades empresariales con base en el artículo 16 del Código Fiscal de la Federación (CFF), por lo que no ésta obligado al cálculo y determinación de impuestos a la utilidad conforme a lo dispuesto en el artículo 13 de la Ley del ISR, como resultado de lo anterior, el Fideicomiso no ha reconocido en sus resultados los efectos del impuesto sobre la renta corriente y diferido que corresponden a sus operaciones, así como activos y pasivos y que en su momento serán responsabilidad de los Fideicomitentes informarlos y enterarlos a las autoridades fiscales.</t>
  </si>
  <si>
    <r>
      <t>·</t>
    </r>
    <r>
      <rPr>
        <sz val="7"/>
        <color rgb="FF000000"/>
        <rFont val="Times New Roman"/>
        <family val="1"/>
      </rPr>
      <t xml:space="preserve">        </t>
    </r>
    <r>
      <rPr>
        <sz val="10"/>
        <color rgb="FF000000"/>
        <rFont val="Trebuchet MS"/>
        <family val="2"/>
      </rPr>
      <t>Por la Aportación inicial.</t>
    </r>
  </si>
  <si>
    <r>
      <t>·</t>
    </r>
    <r>
      <rPr>
        <sz val="7"/>
        <color rgb="FF000000"/>
        <rFont val="Times New Roman"/>
        <family val="1"/>
      </rPr>
      <t xml:space="preserve">        </t>
    </r>
    <r>
      <rPr>
        <sz val="10"/>
        <color rgb="FF000000"/>
        <rFont val="Trebuchet MS"/>
        <family val="2"/>
      </rPr>
      <t>Por las aportaciones que realice el Fideicomitente para que el Fiduciario el proyecto inmobiliario correspondiente y comercialice el mismo, en los términos adquiera los activos, desarrolle y construya de los fines del Fideicomiso.</t>
    </r>
  </si>
  <si>
    <r>
      <t>·</t>
    </r>
    <r>
      <rPr>
        <sz val="7"/>
        <color rgb="FF000000"/>
        <rFont val="Times New Roman"/>
        <family val="1"/>
      </rPr>
      <t xml:space="preserve">        </t>
    </r>
    <r>
      <rPr>
        <sz val="10"/>
        <color rgb="FF000000"/>
        <rFont val="Trebuchet MS"/>
        <family val="2"/>
      </rPr>
      <t>Por los frutos y productos que se obtengan como consecuencia de la comercialización y operación del proyecto inmobiliario, incluyendo, sin limitar, el pago de las rentas generadas por el proyecto inmobiliario, pagos de cuotas de mantenimiento, entre otros.</t>
    </r>
  </si>
  <si>
    <t xml:space="preserve">Las partes del Fideicomiso reconocen que el patrimonio se le trasmite o se le trasmitirá al Fiduciario exclusivamente para cumplir los fines del Fideicomiso. El Fiduciario no asume y queda liberado de responsabilidad alguna respecto de la procedencia, autenticidad o legitimidad de los recursos recibidos con motivo de la aportación que se realice al patrimonio. </t>
  </si>
  <si>
    <t xml:space="preserve">Durante la vigencia del Fideicomiso, el Fideicomitente, de conformidad con las instrucciones que reciba del Administrador, el Comité Técnico o, en su caso, la Asamblea de Tenedores, realizará aportaciones al Fideicomiso cuyos fines podrán ser: </t>
  </si>
  <si>
    <t xml:space="preserve">i. La realización de inversiones. </t>
  </si>
  <si>
    <t xml:space="preserve">ii. El pago de gastos del Fideicomiso. </t>
  </si>
  <si>
    <r>
      <t>1.</t>
    </r>
    <r>
      <rPr>
        <b/>
        <sz val="7"/>
        <color rgb="FF000000"/>
        <rFont val="Times New Roman"/>
        <family val="1"/>
      </rPr>
      <t xml:space="preserve">           </t>
    </r>
    <r>
      <rPr>
        <b/>
        <sz val="10"/>
        <color rgb="FF000000"/>
        <rFont val="Trebuchet MS"/>
        <family val="2"/>
      </rPr>
      <t>Contingencias</t>
    </r>
  </si>
  <si>
    <t>Al 31 de diciembre de 2023, como consecuencia de las operaciones propias de su actividad, el Fideicomiso identifica, monitorea y evalúa diversos criterios o asuntos que pudieran representar una contingencia económica, fiscal o reputacional, los cuales están comunicados a los responsables del gobierno de la entidad ya que por su naturaleza pueden tener impacto en el futuro en caso de que cambien las circunstancias actuales, sin embargo, en opinión de la Administración y de sus asesores legales, fiscales y laborales internos y externos considera que los mismos no representan pasivos contingentes a esa fecha ya que no ha recibido reclamos y no ha sido emplazada a juicios materiales que sean cuantificables de manera confiable.</t>
  </si>
  <si>
    <t>De acuerdo con la legislación fiscal vigente, las autoridades tienen la facultad de revisar los cinco ejercicios fiscales anteriores a la última declaración del Impuesto Sobre la Renta (ISR) presentada.</t>
  </si>
  <si>
    <r>
      <t>2.</t>
    </r>
    <r>
      <rPr>
        <b/>
        <sz val="7"/>
        <color rgb="FF000000"/>
        <rFont val="Times New Roman"/>
        <family val="1"/>
      </rPr>
      <t xml:space="preserve">           </t>
    </r>
    <r>
      <rPr>
        <b/>
        <sz val="10"/>
        <color rgb="FF000000"/>
        <rFont val="Trebuchet MS"/>
        <family val="2"/>
      </rPr>
      <t>Compromisos contraídos</t>
    </r>
  </si>
  <si>
    <t>El Fideicomiso al 31 de diciembre de 2023, cuenta con compromisos propios de la operación y los que se mencionan en la Nota 8 de “Otras aportaciones del Fideicomitente ".</t>
  </si>
  <si>
    <r>
      <t>3.</t>
    </r>
    <r>
      <rPr>
        <b/>
        <sz val="7"/>
        <color rgb="FF000000"/>
        <rFont val="Times New Roman"/>
        <family val="1"/>
      </rPr>
      <t xml:space="preserve">           </t>
    </r>
    <r>
      <rPr>
        <b/>
        <sz val="10"/>
        <color rgb="FF000000"/>
        <rFont val="Trebuchet MS"/>
        <family val="2"/>
      </rPr>
      <t>Nuevos pronunciamientos contables</t>
    </r>
  </si>
  <si>
    <t>Durante el 2023 el CINIF emitió varias mejoras y orientaciones a las NIF que entrarán en vigor en períodos contables subsecuentes, las cuales no tienen efectos significativos en la información financiera. Entre ellas a continuación se describen aquellas que puedan aplicar al Fideicomiso:</t>
  </si>
  <si>
    <t>NIF A-1 Marco Conceptual de las Normas de Información Financiera en dónde principalmente hay dos cambios, el primero es relacionado a las revelaciones aplicables a todas las entidades en general y la segunda describe revelaciones adicionales para entidades de interés público.</t>
  </si>
  <si>
    <r>
      <t>4.</t>
    </r>
    <r>
      <rPr>
        <b/>
        <sz val="7"/>
        <color rgb="FF000000"/>
        <rFont val="Times New Roman"/>
        <family val="1"/>
      </rPr>
      <t xml:space="preserve">           </t>
    </r>
    <r>
      <rPr>
        <b/>
        <sz val="10"/>
        <color rgb="FF000000"/>
        <rFont val="Trebuchet MS"/>
        <family val="2"/>
      </rPr>
      <t>Autorización de la emisión de los estados financieros</t>
    </r>
  </si>
  <si>
    <t>Los estados financieros y las notas a los mismos fueron autorizados para su emisión y publicación el 20 de marzo de 2024, por Ignacio García de Quevedo Gómez Gallardo - Director de Administración y Finanzas, y están sujetas a la aprobación del Comité Técnico y Administrador del Fideicomiso.</t>
  </si>
  <si>
    <t xml:space="preserve">Hemos auditado los estados financieros adjuntos de </t>
  </si>
  <si>
    <t>Fideicomiso FORTMCK 19-12 Lomas Verdes</t>
  </si>
  <si>
    <t xml:space="preserve"> estados financieros el 28 de abril de 2023</t>
  </si>
  <si>
    <t>Los estados financieros del</t>
  </si>
  <si>
    <t>, el saldo se integra principalmente por depósitos en cuentas de cheques, todos de gran liquidez:</t>
  </si>
  <si>
    <t>, el saldo de este rubro, corresponde a:</t>
  </si>
  <si>
    <t>, las aportaciones de patrimonio al fideicomiso fueron de la siguiente forma:</t>
  </si>
  <si>
    <t xml:space="preserve">A continuación, se muestran los plazos de vencimientos de los principales rubros de activo y pasivo </t>
  </si>
  <si>
    <t>, los saldos con partes relacionadas se integran como sigue:</t>
  </si>
  <si>
    <t>El 27 de diciembre de 2022</t>
  </si>
  <si>
    <t>, se publicó en el Diario Oficial de la Federación un decreto por medio del cual se reformaron los artículos 76 y 78 de la Ley Federal del Trabajo (“LFT”), el cual entró en vigor el pasado</t>
  </si>
  <si>
    <t>. Su objetivo fue el de incrementar el período anual mínimo de vacaciones a los trabajadores que tengan más de un año de servicio.</t>
  </si>
  <si>
    <t>, como consecuencia de las operaciones propias de su actividad, el Fideicomiso identifica, monitorea y evalúa diversos criterios o asuntos que pudieran representar una contingencia económica, fiscal o reputacional, los cuales están comunicados a los responsables del gobierno de la entidad ya que por su naturaleza pueden tener impacto en el futuro en caso de que cambien las circunstancias actuales, sin embargo, en opinión de la Administración y de sus asesores legales, fiscales y laborales internos y externos considera que los mismos no representan pasivos contingentes a esa fecha ya que no ha recibido reclamos y no ha sido emplazada a juicios materiales que sean cuantificables de manera confiable.</t>
  </si>
  <si>
    <t xml:space="preserve">Opinión </t>
  </si>
  <si>
    <t xml:space="preserve">Responsabilidades del auditor en relación con la auditoría de los estados financieros </t>
  </si>
  <si>
    <t xml:space="preserve">Estados de posición financiera </t>
  </si>
  <si>
    <t xml:space="preserve">Estados de resultados </t>
  </si>
  <si>
    <t xml:space="preserve">Estados de flujos de efectivo </t>
  </si>
  <si>
    <t xml:space="preserve"> fueron auditados por otros auditores quienes expresaron una opinión limpia sobre dichos.</t>
  </si>
  <si>
    <t xml:space="preserve"> Fideicomiso por el año que terminó el 31 de diciembre de 2023</t>
  </si>
  <si>
    <t>Al 31 de diciembre de 2024 y 2023</t>
  </si>
  <si>
    <t xml:space="preserve">Los saldos por pagar al 31 de diciembre de 2024 y 2023 </t>
  </si>
  <si>
    <t xml:space="preserve"> 1o de enero de 2024</t>
  </si>
  <si>
    <t>El Fideicomiso al 31 de diciembre de 2024</t>
  </si>
  <si>
    <t>BBVA CTA 0122389452</t>
  </si>
  <si>
    <t>INVEX CTA 0705 COBRAZA INVER</t>
  </si>
  <si>
    <t>TERRENO L-18 0980616001000000</t>
  </si>
  <si>
    <t>PRELIMINARES URBANIZACIÓN</t>
  </si>
  <si>
    <t>GASTOS ADMINISTRATIVOS OBRA</t>
  </si>
  <si>
    <t>MOBILIARIO Y EQUIPO DE OFICINA</t>
  </si>
  <si>
    <t>MOBILIARIO Y EQP DE OFICINA</t>
  </si>
  <si>
    <t>DEPRECIACION MOB Y EQUIPO DE OFICINA</t>
  </si>
  <si>
    <t>EQUIPO DE VIDEO VIGILANCIA</t>
  </si>
  <si>
    <t>INVERSION</t>
  </si>
  <si>
    <t>CIRCUITO CERRADO DE TV</t>
  </si>
  <si>
    <t>DEPRECIACION EQP DE VIDEO VIGILANCIA</t>
  </si>
  <si>
    <t>5% RETENCION SOBRE CONSTRUCCION</t>
  </si>
  <si>
    <t>5% RETENCION FONDO DE GARANTIA M.N.</t>
  </si>
  <si>
    <t>UTILIDAD DEL EJERCICIO</t>
  </si>
  <si>
    <t>EJERCICIO 2023</t>
  </si>
  <si>
    <t>INTERESES PAGADOS</t>
  </si>
  <si>
    <t>1031BBVA CTA 0122389452</t>
  </si>
  <si>
    <t>1041INVEX CTA 0705 COBRAZA INVER</t>
  </si>
  <si>
    <t>1211TERRENO L-18 0980616001000000</t>
  </si>
  <si>
    <t>1234PRELIMINARES URBANIZACIÓN</t>
  </si>
  <si>
    <t>1237GASTOS NO DEDUCIBLES</t>
  </si>
  <si>
    <t>1237GASTOS ADMINISTRATIVOS OBRA</t>
  </si>
  <si>
    <t>1240MOBILIARIO Y EQUIPO DE OFICINA</t>
  </si>
  <si>
    <t>1241INVERSIÓN</t>
  </si>
  <si>
    <t>1241MOBILIARIO Y EQP DE OFICINA</t>
  </si>
  <si>
    <t>1242DEPRECIACION MOB Y EQUIPO DE OFICINA</t>
  </si>
  <si>
    <t>1260EQUIPO DE VIDEO VIGILANCIA</t>
  </si>
  <si>
    <t>1261INVERSION</t>
  </si>
  <si>
    <t>1261CIRCUITO CERRADO DE TV</t>
  </si>
  <si>
    <t>1262DEPRECIACION EQP DE VIDEO VIGILANCIA</t>
  </si>
  <si>
    <t>21105% RETENCION SOBRE CONSTRUCCION</t>
  </si>
  <si>
    <t>21115% RETENCION FONDO DE GARANTIA M.N.</t>
  </si>
  <si>
    <t>3040UTILIDAD DEL EJERCICIO</t>
  </si>
  <si>
    <t>3042EJERCICIO 2023</t>
  </si>
  <si>
    <t>601101DEPRECIACION MOB Y EQUIPO DE OFICINA</t>
  </si>
  <si>
    <t>601101DEPRECIACION EQP DE VIDEO VIGILANCIA</t>
  </si>
  <si>
    <t>7021INTERESES PAGADOS</t>
  </si>
  <si>
    <t>7511VARIOS</t>
  </si>
  <si>
    <t>7521VARIOS</t>
  </si>
  <si>
    <t>FIDEICOMISO FORTMCK19-12 LOMAS VERDES</t>
  </si>
  <si>
    <t>R.F.C.: FFL191202GZ1 Dirección: Av. Santa Fe 505 Int. 802 Piso 8 Col. Cruz Manca CP05349</t>
  </si>
  <si>
    <t>Periodo de : Enero 2024 a Septiembre 2024</t>
  </si>
  <si>
    <t>Balanza de Comprobación</t>
  </si>
  <si>
    <t>Balanza compartida por el contador:</t>
  </si>
  <si>
    <t>Andrés Martínez</t>
  </si>
  <si>
    <t>Correo:</t>
  </si>
  <si>
    <t>amartinez@fortemcapital.com.mx</t>
  </si>
  <si>
    <t>Fecha de envio: 16/10/2024</t>
  </si>
  <si>
    <t>Fecha de descarga: 16/10/2024</t>
  </si>
  <si>
    <t>Fecha del dictamen:</t>
  </si>
  <si>
    <t xml:space="preserve">, (el “Fideicomiso”), que comprenden los estados de posición financiera </t>
  </si>
  <si>
    <t>, los estados de resultados, de cambios en el patrimonio y de flujos de efectivo, por los ejercicios terminados en dichas fechas, así como las notas explicativas de los estados financieros, las cuales incluyen un resumen de las principales políticas contables.</t>
  </si>
  <si>
    <r>
      <t xml:space="preserve">a.                  </t>
    </r>
    <r>
      <rPr>
        <b/>
        <i/>
        <sz val="10"/>
        <color rgb="FF000000"/>
        <rFont val="Trebuchet MS"/>
        <family val="2"/>
      </rPr>
      <t>Efectivo y equivalentes de efectivo</t>
    </r>
  </si>
  <si>
    <r>
      <t xml:space="preserve">b.                  </t>
    </r>
    <r>
      <rPr>
        <b/>
        <i/>
        <sz val="10"/>
        <color rgb="FF000000"/>
        <rFont val="Trebuchet MS"/>
        <family val="2"/>
      </rPr>
      <t xml:space="preserve">Deudores diversos y otras cuentas por cobrar </t>
    </r>
  </si>
  <si>
    <r>
      <t>I.</t>
    </r>
    <r>
      <rPr>
        <sz val="10"/>
        <color rgb="FF000000"/>
        <rFont val="Times New Roman"/>
        <family val="1"/>
      </rPr>
      <t xml:space="preserve">          </t>
    </r>
    <r>
      <rPr>
        <sz val="10"/>
        <color rgb="FF000000"/>
        <rFont val="Trebuchet MS"/>
        <family val="2"/>
      </rPr>
      <t>Por la Aportación inicial.</t>
    </r>
  </si>
  <si>
    <r>
      <t>II.</t>
    </r>
    <r>
      <rPr>
        <sz val="10"/>
        <color rgb="FF000000"/>
        <rFont val="Times New Roman"/>
        <family val="1"/>
      </rPr>
      <t xml:space="preserve">         </t>
    </r>
    <r>
      <rPr>
        <sz val="10"/>
        <color rgb="FF000000"/>
        <rFont val="Trebuchet MS"/>
        <family val="2"/>
      </rPr>
      <t>Por las aportaciones que realice el Fideicomitente para que el Fiduciario el proyecto inmobiliario correspondiente y comercialice el mismo, en los términos adquiera los activos, desarrolle y construya de los fines del Fideicomiso.</t>
    </r>
  </si>
  <si>
    <r>
      <t>IV.</t>
    </r>
    <r>
      <rPr>
        <sz val="10"/>
        <color rgb="FF000000"/>
        <rFont val="Times New Roman"/>
        <family val="1"/>
      </rPr>
      <t xml:space="preserve">       </t>
    </r>
    <r>
      <rPr>
        <sz val="10"/>
        <color rgb="FF000000"/>
        <rFont val="Trebuchet MS"/>
        <family val="2"/>
      </rPr>
      <t>Por los frutos y productos que se obtengan como consecuencia de la comercialización y operación del proyecto inmobiliario, incluyendo, sin limitar, el pago de las rentas generadas por el proyecto inmobiliario, pagos de cuotas de mantenimiento, entre otros.</t>
    </r>
  </si>
  <si>
    <r>
      <t>2.</t>
    </r>
    <r>
      <rPr>
        <b/>
        <sz val="7"/>
        <color rgb="FF000000"/>
        <rFont val="Times New Roman"/>
        <family val="1"/>
      </rPr>
      <t xml:space="preserve">           </t>
    </r>
    <r>
      <rPr>
        <b/>
        <sz val="10"/>
        <color rgb="FF000000"/>
        <rFont val="Trebuchet MS"/>
        <family val="2"/>
      </rPr>
      <t>Bases de presentación</t>
    </r>
  </si>
  <si>
    <r>
      <t>3.</t>
    </r>
    <r>
      <rPr>
        <b/>
        <sz val="10"/>
        <color rgb="FF000000"/>
        <rFont val="Times New Roman"/>
        <family val="1"/>
      </rPr>
      <t xml:space="preserve">           </t>
    </r>
    <r>
      <rPr>
        <b/>
        <sz val="10"/>
        <color rgb="FF000000"/>
        <rFont val="Trebuchet MS"/>
        <family val="2"/>
      </rPr>
      <t>Principales políticas contables</t>
    </r>
  </si>
  <si>
    <r>
      <t>III.</t>
    </r>
    <r>
      <rPr>
        <sz val="10"/>
        <color rgb="FF000000"/>
        <rFont val="Times New Roman"/>
        <family val="1"/>
      </rPr>
      <t xml:space="preserve">       </t>
    </r>
    <r>
      <rPr>
        <sz val="10"/>
        <color rgb="FF000000"/>
        <rFont val="Trebuchet MS"/>
        <family val="2"/>
      </rPr>
      <t>Por los activos, así como todos los derechos y obligaciones relacionados con los mismos, o cualquier activo y derechos que sean cedidos al y/o adquiridos y/o asumidos por el Fiduciario para fines del Fideicomiso.</t>
    </r>
  </si>
  <si>
    <t>Total de activos</t>
  </si>
  <si>
    <t>Total de pasivos</t>
  </si>
  <si>
    <t>1. (CI )Áreas de Riesgo y Rubros Susceptibles a Error</t>
  </si>
  <si>
    <t>2. Análisis de Variaciones y Materialidad</t>
  </si>
  <si>
    <t>3. Revisión del Dictamen 2023</t>
  </si>
  <si>
    <t>Conclusiòn General</t>
  </si>
  <si>
    <t>Analisis CI</t>
  </si>
  <si>
    <t>Variación</t>
  </si>
  <si>
    <t>Materialidad</t>
  </si>
  <si>
    <t>Conclusión</t>
  </si>
  <si>
    <t>2023 NOTAS</t>
  </si>
  <si>
    <t>Complicaciones y Ajustes Pendientes</t>
  </si>
  <si>
    <t>PC</t>
  </si>
  <si>
    <t>SI</t>
  </si>
  <si>
    <t>PS</t>
  </si>
  <si>
    <t>Depositos en garantia: se reviso  que esten adecuadamente respaldados por contratos y correctamente registrados como pasivos conforme a los acuerdos establecidos y las políticas de la empresa.</t>
  </si>
  <si>
    <t>Préstamos bancarios  Se revisaron los saldos y movimientos verificando el cumplimiento de los términos del contrato, la correcta amortización, y la adecuada clasificación entre corto y largo plazo.</t>
  </si>
  <si>
    <t>Patrimonio: Se revisaron los movimientos en el patrimonio, confirmando que tanto los movimientos como cualquier cambio en el patrimonio fueron debidamente documentados y registrados conforme a los contratos y políticas establecidos.</t>
  </si>
  <si>
    <t>Inventarios inmobiliarios pagados por anticipado: Se revisó la existencia y propiedad mediante escrituras y registros legales. También se verificaron los avances de obra, contrastando certificados y documentos de soporte que mantenga una conciliación actualizada.</t>
  </si>
  <si>
    <t>Si Revisar prueba de doble proposito</t>
  </si>
  <si>
    <t>IVA generado por el aumento en las adquisiciones y aumentos de Construcción</t>
  </si>
  <si>
    <t>Debemos realizar selección de pasivo para revisar, la mayoria de los proveedores se refieren a Gastos relacionados con la Contrucción.</t>
  </si>
  <si>
    <t>PAGOS ANTICIPADOS</t>
  </si>
  <si>
    <t xml:space="preserve">BANCO ACTINVER </t>
  </si>
  <si>
    <t xml:space="preserve">HONORARIOS PERSONAS FISICAS </t>
  </si>
  <si>
    <t>GASTOS LEGALES Y NOTARIALES</t>
  </si>
  <si>
    <t>SEGURIDAD</t>
  </si>
  <si>
    <t>1180PAGOS ANTICIPADOS</t>
  </si>
  <si>
    <t>1182PROVEEDORES</t>
  </si>
  <si>
    <t xml:space="preserve">1182BANCO ACTINVER </t>
  </si>
  <si>
    <t>COMERCIALIZACION.</t>
  </si>
  <si>
    <t>1239COMERCIALIZACION.</t>
  </si>
  <si>
    <t>6012HONORARIOS PERSONAS MORALES</t>
  </si>
  <si>
    <t xml:space="preserve">6016HONORARIOS PERSONAS FISICAS </t>
  </si>
  <si>
    <t>6017GASTOS LEGALES Y NOTARIALES</t>
  </si>
  <si>
    <t>60117SEGURIDAD</t>
  </si>
  <si>
    <t>Quitar duplicados y cuentas de mayor</t>
  </si>
  <si>
    <t>Determinar saldos ajustados listos para trabajar</t>
  </si>
  <si>
    <t>Fecha de descarga: 07/03/25</t>
  </si>
  <si>
    <t>Fecha de envio: 07/03/25</t>
  </si>
  <si>
    <t>Periodo de : Enero 2024 a Diciembre 2024</t>
  </si>
  <si>
    <t>1239COMERCIALIZACION</t>
  </si>
  <si>
    <t xml:space="preserve"> COMERCIALIZACION.</t>
  </si>
  <si>
    <t>1239 COMERCIALIZACION.</t>
  </si>
  <si>
    <t>2024M</t>
  </si>
  <si>
    <t>&lt;&lt;Chek</t>
  </si>
  <si>
    <t>&lt;&lt;Check</t>
  </si>
  <si>
    <t>&lt;&lt;Check 2024</t>
  </si>
  <si>
    <t>&lt;&lt;Check 2023</t>
  </si>
  <si>
    <t xml:space="preserve">a.                  Aplicación de las Normas de Información Financiera (NIF) mexicanas y supletoriedad </t>
  </si>
  <si>
    <t>Los estados financieros al 31 de diciembre de 2024 y 2023, que se acompañan, cumplen cabalmente con lo establecido en las NIF, para mostrar una presentación razonable de la situación financiera del Fideicomiso. Las NIF establecen que las Normas Internacionales de Información Financiera (NIIF), Normas Internacionales de Contabilidad (NIC), Interpretaciones a las NIIF (INIIF) y el Comité́ de Interpretaciones (SIC) son supletoriamente parte de las NIF, cuando la ausencia de estas así́ lo requiera.</t>
  </si>
  <si>
    <t>Durante 2024 y 2023 el Fideicomiso, no aplicó en particular ninguna NIIF, INIIF y SIC supletorias, emitidas por el International Accounting Standards Board.</t>
  </si>
  <si>
    <t>A partir del 1 de enero de 2024 el Fideicomiso adoptó de manera prospectiva las siguientes NIF, y Mejoras a las NIF, emitidas por el Consejo Mexicano de Normas de Información Financiera (CINIF), y que entraron en vigor a partir de la fecha mencionada. La Administración considera que las NIF y las Mejoras a las NIF no tuvieron una afectación importante en la información financiera que presenta el Fideicomiso.</t>
  </si>
  <si>
    <t>Nuevas NIF 2024</t>
  </si>
  <si>
    <t>NIF C-10 – Instrumentos financieros derivados y relaciones de cobertura. Se incorpora el tratamiento contable para coberturas de instrumentos de capital cuyo valor razonable se reconoce en otros resultados integrales (ORI).</t>
  </si>
  <si>
    <t>NIF C-2 – Inversión en instrumentos financieros. Se actualiza la terminología y definición para los instrumentos financieros “para cobrar y vender”, permitiendo su reconocimiento en ORI incluso si no se venden por condiciones de mercado.</t>
  </si>
  <si>
    <t>NIF D-4 – Impuestos a la utilidad. Se precisa que, en caso de beneficios fiscales por capitalización de utilidades, los impuestos causados y diferidos se deben determinar con la tasa aplicable a utilidades no distribuidas.</t>
  </si>
  <si>
    <t>Mejoras generales 2024</t>
  </si>
  <si>
    <t>El Fideicomiso incorporó las siguientes precisiones normativas sin efectos materiales:</t>
  </si>
  <si>
    <t>	Revisión anual del valor residual, periodo y método de depreciación (NIF C-6, C-8).</t>
  </si>
  <si>
    <t>	Definición de entidades de interés público en el Marco Conceptual (NIF A-1).</t>
  </si>
  <si>
    <t>	Precisión sobre aportaciones de activos no monetarios a asociadas (NIF C-7).</t>
  </si>
  <si>
    <t>	Tratamiento de artículos vendidos antes del uso en propiedades, planta y equipo (NIF C-6).</t>
  </si>
  <si>
    <t>	Revisión del término “importancia relativa” (NIF A-1).</t>
  </si>
  <si>
    <t>	Transacciones con acciones variables como pasivo (NIF D-8).</t>
  </si>
  <si>
    <t>NIF 2023</t>
  </si>
  <si>
    <t>NIF B-14 “Utilidad por acción” Establece las bases de determinación y normas de revelación de la utilidad por acción (UPA), sin embargo, la Administración del Fideicomiso considera que este cambio no resulta relevante para el Fideicomiso.</t>
  </si>
  <si>
    <t>El Fideicomiso no ha adoptado de manera anticipada ninguna norma, interpretación o, mejora que ya se haya publicado pero que todavía no esté vigente, aunque dicha norma, mejora o interpretación permita su aplicación anticipada. Entre ellas a continuación se describen aquellas que puedan aplicar al Fideicomiso:</t>
  </si>
  <si>
    <t>NIF A-1 – Marco Conceptual (vigente en 2025). Incluye la definición formal de entidades de interés público y refuerza las obligaciones de revelación.</t>
  </si>
  <si>
    <t>NIF B-13 – Hechos posteriores a la fecha de los estados financieros. Sustituye al Boletín C-9, reforzando la delimitación y revelación de eventos ocurridos entre el cierre y la autorización de los estados financieros.</t>
  </si>
  <si>
    <t>Revisión a la NIF D-2 – Costos por contratos con clientes (propuesta). Establece lineamientos más estrictos para la capitalización de costos contractuales.</t>
  </si>
  <si>
    <t>El ejercicio terminado el 31 de diciembre de 2024 es considerado como entorno económico no inflacionario (inflación acumulada de los tres ejercicios anuales anteriores menor que el 26%), conforme a lo establecido en la NIF B-10 "Efectos de la inflación"; consecuentemente no se reconocen los efectos de la inflación en la información financiera del Fideicomiso; en caso de estar en un entorno inflacionario, se deberán registrar de manera retrospectiva los efectos acumulados de la inflación no reconocidos en los períodos en los que el entorno fue calificado como no inflacionario. El porcentaje de inflación anual, la acumulada en los tres últimos ejercicios y los índices utilizados para determinar la inflación son los siguientes:</t>
  </si>
  <si>
    <t xml:space="preserve">4.           Efectivo y equivalentes de efectivo </t>
  </si>
  <si>
    <t>Al 31 de diciembre de 2024 y 2023, el saldo de inventarios inmobiliarios pagados por anticipado corresponde a:</t>
  </si>
  <si>
    <t xml:space="preserve">Inversión al inicio del periodo </t>
  </si>
  <si>
    <t xml:space="preserve">Inversión al final del periodo </t>
  </si>
  <si>
    <t>Adiciones por costos capitalizados</t>
  </si>
  <si>
    <t>Al 31 de diciembre de 2024 y 2023, los movimientos en la cuenta de inventarios inmobiliarios pagados por anticipado fueron como sigue:</t>
  </si>
  <si>
    <t>Variación vs 2023</t>
  </si>
  <si>
    <t>Garantías retenidas a proveedores</t>
  </si>
  <si>
    <t>Total Depósitos en garantía</t>
  </si>
  <si>
    <t>Depósitos en garantía MN</t>
  </si>
  <si>
    <t>Los préstamos bancarios y otros pasivos financieros se reconocen inicialmente al valor razonable de los ingresos recibidos, netos de los costos directamente atribuibles a la transacción. Posteriormente, estos pasivos se valúan a su costo amortizado utilizando el método de interés efectivo, el cual reconoce los intereses devengados durante el periodo conforme se incurre, así como cualquier prima o descuento relacionado con el instrumento financiero. Los costos de financiamiento directamente atribuibles a la adquisición, construcción o producción de activos calificables (activos que requieren un período sustancial de tiempo para estar disponibles para su uso o venta) se capitalizan como parte del costo de dichos activos. Otros costos por intereses se reconocen en resultados del periodo conforme se devengan.
A la fecha de los estados financieros, el Fideicomiso únicamente mantiene préstamos bancarios con vencimientos contractuales mayores a doce meses, por lo que dichos financiamientos se presentan en su totalidad como pasivos no circulantes en el estado de situación financiera.</t>
  </si>
  <si>
    <t>Por los ejercicios terminados al 31 de diciembre de 2024 y 2023</t>
  </si>
  <si>
    <r>
      <t>·</t>
    </r>
    <r>
      <rPr>
        <sz val="7"/>
        <color rgb="FF000000"/>
        <rFont val="Times New Roman"/>
        <family val="1"/>
      </rPr>
      <t xml:space="preserve">        </t>
    </r>
    <r>
      <rPr>
        <sz val="10"/>
        <color rgb="FF000000"/>
        <rFont val="Trebuchet MS"/>
        <family val="2"/>
      </rPr>
      <t>Al cierre del periodo se ha dispuesto de la totalidad del crédito de NEXXUS, por un monto de $330,000, lo que ha permitido mantener la liquidez necesaria para la operación y avance del Proyecto conforme a la planeación financiera. El monitoreo de la utilización y aplicación de dichos recursos es relevante para asegurar el cumplimiento de las obligaciones contractuales y regulatorias aplicables.</t>
    </r>
  </si>
  <si>
    <r>
      <t>·</t>
    </r>
    <r>
      <rPr>
        <sz val="7"/>
        <color rgb="FF000000"/>
        <rFont val="Times New Roman"/>
        <family val="1"/>
      </rPr>
      <t xml:space="preserve">        </t>
    </r>
    <r>
      <rPr>
        <sz val="10"/>
        <color rgb="FF000000"/>
        <rFont val="Trebuchet MS"/>
        <family val="2"/>
      </rPr>
      <t>Al cierre de 2024, el avance del proyecto reportado se encuentra en línea con las proyecciones presupuestales, sin que se hayan identificado desviaciones materiales entre los montos comprometidos, programados y efectivamente pagados. El cronograma de obra refleja avances parciales conforme a lo previsto, con seguimiento periódico de hitos relevantes. Si bien se han presentado algunos retrasos ajenos a la administración, estos no representaron un riesgo para la continuidad ni para el cumplimiento de los objetivos del proyecto. Los pagos realizados corresponden a los compromisos contractuales programados y se han mantenido dentro de los parámetros establecidos, mientras que el avance comercial ha progresado adecuadamente, manteniéndose en línea con lo proyectado.</t>
    </r>
  </si>
  <si>
    <t>Con fecha 24 de agosto de 2023, el Fideicomiso celebró un contrato de crédito con Nxx Capital Mezz I, S.A.P.I. de C.V., SOFOM, E.N.R. (“Nexxus Capital”), como acreditante, sujeto a los límites de apalancamiento establecidos contractualmente. Durante el ejercicio 2023 se realizaron diversas disposiciones del crédito, sumando un total de $271,000, registrándose los costos financieros e intereses devengados en el rubro de inventarios inmobiliarios pagados por anticipado.</t>
  </si>
  <si>
    <t xml:space="preserve">Al 31 de diciembre de 2024 y 2023, el Fideicomiso ha recibido un préstamo bancario hasta por $330,000, con NXX CAPITAL MEZZI, SAPI DE CV SOFOM ENR, del cual se han realizado diversas disposiciones durante los ejercicios, los saldos y detalle se presentan a continuación: </t>
  </si>
  <si>
    <t>Fluctuación cambiaria</t>
  </si>
  <si>
    <t>Realizamos nuestra auditoría de conformidad con las Normas Internacionales de Auditoría (NIAs). Nuestras responsabilidades de acuerdo con dichas normas se describen más adelante en la sección "Responsabilidades del auditor en relación con la auditoría de los estados financieros" de este informe. Somos independientes del Fideicomiso de conformidad con el Código de Ética Profesional del Instituto Mexicano de Contadores Públicos, A.C. y cumplimos con las demás responsabilidades de ética de conformidad con dicho código. Consideramos que la evidencia de auditoría que hemos obtenido proporciona una base suficiente y adecuada para nuestra opinión.</t>
  </si>
  <si>
    <t>La Administración es responsable de la preparación y presentación fiel de los estados financieros adjuntos de conformidad con las NIF, y del control interno que la administración considere necesario para permitir la preparación de estados financieros libres de incorrección material, debida a fraude o error.</t>
  </si>
  <si>
    <r>
      <t>·</t>
    </r>
    <r>
      <rPr>
        <sz val="7"/>
        <color rgb="FF000000"/>
        <rFont val="Times New Roman"/>
        <family val="1"/>
      </rPr>
      <t xml:space="preserve">        </t>
    </r>
    <r>
      <rPr>
        <sz val="8.5"/>
        <color rgb="FF000000"/>
        <rFont val="Trebuchet MS"/>
        <family val="2"/>
      </rPr>
      <t>Entre otras cuestiones, comunicamos a los responsables del gobierno de la entidad en relación con el alcance y el momento de realización de la auditoría planificados y los hallazgos significativos de la auditoría, así como cualquier deficiencia significativa del control interno que identificamos en el transcurso de la auditoría.</t>
    </r>
  </si>
  <si>
    <t xml:space="preserve"> 1o de enero de 2023</t>
  </si>
  <si>
    <t>Los estados financieros han sido preparados por la Administración asumiendo que el Fideicomiso continuará operando como negocio en marcha.</t>
  </si>
  <si>
    <t>Mobiliario y equipo, neto</t>
  </si>
  <si>
    <t xml:space="preserve">El Mobiliario y equipo se expresan a su costo de adquisición. </t>
  </si>
  <si>
    <r>
      <t>·</t>
    </r>
    <r>
      <rPr>
        <sz val="7"/>
        <color rgb="FF000000"/>
        <rFont val="Times New Roman"/>
        <family val="1"/>
      </rPr>
      <t xml:space="preserve">        </t>
    </r>
    <r>
      <rPr>
        <sz val="10"/>
        <color rgb="FF000000"/>
        <rFont val="Trebuchet MS"/>
        <family val="2"/>
      </rPr>
      <t>La Administración del Fideicomiso estima que, con base en la información y proyecciones presupuestales disponibles a la fecha, la conclusión del proyecto ocurrirá en el ejercicio 2026; no obstante, dicha estimación se encuentra sujeta a que no se presenten eventos posteriores relevantes, cambios en las condiciones del mercado o circunstancias ajenas a la Administración que pudieran afectar los plazos originalmente previstos.</t>
    </r>
  </si>
  <si>
    <t>Cambios en el capital de trabajo:</t>
  </si>
  <si>
    <t>(Incremento) disminución en:</t>
  </si>
  <si>
    <t>Incremento (disminución) en:</t>
  </si>
  <si>
    <t>Flujos netos de efectivo de actividades de Financiamiento</t>
  </si>
  <si>
    <t>Al cierre del ejercicio 2024, el Fideicomiso registró un incremento significativo en el desarrollo "Terralago", derivado principalmente de inversiones orientadas al desarrollo y comercialización del proyecto. Las erogaciones se centraron en trámites estatales por impacto de obra, rehabilitación de vialidades, capitalización de intereses, comisiones de comercialización, gestiones ante la CFE y honorarios de administración. Adicionalmente, se realizaron inversiones en infraestructura básica como sistemas de agua potable y tratada, pavimentación de vialidades y obra eléctrica. Este incremento refleja el progreso relevante alcanzado en la etapa de urbanización del proyecto.</t>
  </si>
  <si>
    <r>
      <t xml:space="preserve">d.                  </t>
    </r>
    <r>
      <rPr>
        <b/>
        <i/>
        <sz val="10"/>
        <color rgb="FF000000"/>
        <rFont val="Trebuchet MS"/>
        <family val="2"/>
      </rPr>
      <t>Mobiliario y equipo, neto</t>
    </r>
  </si>
  <si>
    <t>Construcción y desarrollo</t>
  </si>
  <si>
    <t>Relacionados a energía eléctrica</t>
  </si>
  <si>
    <t>Administrativos de obra</t>
  </si>
  <si>
    <t>Otros Proveedores</t>
  </si>
  <si>
    <t>Consultoría en desarrollo y construcción</t>
  </si>
  <si>
    <t>Al 31 de diciembre de 2024 y 2023, el saldo se integra principalmente por saldos a favor de proveedores relacionados con el desarrollo y construcción del proyecto como sigue:</t>
  </si>
  <si>
    <t>30 de abril de 2025</t>
  </si>
  <si>
    <r>
      <t>·</t>
    </r>
    <r>
      <rPr>
        <sz val="7"/>
        <color rgb="FF000000"/>
        <rFont val="Times New Roman"/>
        <family val="1"/>
      </rPr>
      <t xml:space="preserve">        </t>
    </r>
    <r>
      <rPr>
        <sz val="10"/>
        <color rgb="FF000000"/>
        <rFont val="Trebuchet MS"/>
        <family val="2"/>
      </rPr>
      <t>Por los activos, así como todos los derechos y obligaciones relacionados con los mismos, o cualquier activo y derechos que sean cedidos al y/o adquiridos y/o asumidos por el Fiduciario para fines del Fideicomiso.</t>
    </r>
  </si>
  <si>
    <t>Proveedor:  ( 25 )    VICTOR MANUEL LIRA ESTRELLA</t>
  </si>
  <si>
    <t>Proveedor:  ( 102 )    FORTEM CAPITAL I SC</t>
  </si>
  <si>
    <t xml:space="preserve">Proveedor:  ( 109 )    FIDEICOMISO FORTMCK18-08 CINE APOLO  </t>
  </si>
  <si>
    <t>Proveedor:  ( 1111 )    PEQUEÑAS SUPERFICIES DE MEXICO SAPI DE CV</t>
  </si>
  <si>
    <t>Proveedor:  ( 1191 )    MUNICIPIO DE NAUCALPAN DE JUAREZ</t>
  </si>
  <si>
    <t>Proveedor:  ( 1556 )    ROBERTO CUETO STRIMPOPULOS</t>
  </si>
  <si>
    <t>Proveedor:  ( 1660 )    CFE DISTRIBUCION</t>
  </si>
  <si>
    <t>Proveedor:  ( 1975 )    FC1 DESARROLLO S.A.P.I. DE C.V.</t>
  </si>
  <si>
    <t>Proveedor:  ( 3265 )    SECRETARIA DE MEDIO AMBIENTE Y RECURSOS NATURALES</t>
  </si>
  <si>
    <t>Proveedor:  ( 3311 )    SECRETARIA DE FINANZAS ESTADO DE MEXICO</t>
  </si>
  <si>
    <t>Proveedor:  ( 3325 )    ANA LILIA JANETH PORRAS FIGUEROA</t>
  </si>
  <si>
    <t>Proveedor:  ( 3329 )    LASALLE PARTNERS S DE RL DE CV</t>
  </si>
  <si>
    <t>Proveedor:  ( 3334 )    GOBIERNO DEL ESTADO DE MEXICO</t>
  </si>
  <si>
    <t>Proveedor:  ( 3423 )    TALLER GLOBAL, S.C.</t>
  </si>
  <si>
    <t>Deudores diversos</t>
  </si>
  <si>
    <t>Saldo 2024</t>
  </si>
  <si>
    <t>Saldo contraparte</t>
  </si>
  <si>
    <t xml:space="preserve">Proveedor:  ( 101 )    FIDEICOMISO IRREVOCABLE NUMERO 3518  </t>
  </si>
  <si>
    <t>Proveedor:  ( 205 )    BANCO ACTINVER S.A., INSTITUCION DE BANCA MULTIPLE, GRUPO FINANCIERO ACTINVER</t>
  </si>
  <si>
    <t xml:space="preserve">Proveedor:  ( 1061 )    BLUEPATH, S.A. DE C.V.  </t>
  </si>
  <si>
    <t>Proveedor:  ( 1108 )    CUERPO DE VIGILANCIA AUXILIAR Y URBANA DEL ESTADO DE MEXICO</t>
  </si>
  <si>
    <t>Proveedor:  ( 1995 )    AMIRA KARAM MORALES</t>
  </si>
  <si>
    <t>Proveedor:  ( 3350 )    GRUPO CONSTRUCTOR ACTUM SA DE CV</t>
  </si>
  <si>
    <t>Proveedor:  ( 3360 )    THREE CONSULTORIA MEDIOAMBIENTAL SA DE CV</t>
  </si>
  <si>
    <t>Proveedor:  ( 3361 )    INGENIERIA Y CONSTRUCCIONES GABE SA DE CV</t>
  </si>
  <si>
    <t>Proveedor:  ( 3367 )    GRUPO CULUMBIO MEXICO SA DE CV</t>
  </si>
  <si>
    <t>Proveedor:  ( 3422 )    INDUSTRIAL DE ASFALTOS Y PAVIMENTOS SA DE CV</t>
  </si>
  <si>
    <t>Proveedor:  ( 3428 )    CONTROL LOGISTICO Y ADMINISTRADORA DE VALVULAS Y EQUIPOS SA DE CV</t>
  </si>
  <si>
    <t>Proveedor:  ( 3440 )    TGC GEOTECNIA SA DE CV</t>
  </si>
  <si>
    <t>Proveedor:  ( 3548 )    CUARTAGO CONSULTORES SA DE CV</t>
  </si>
  <si>
    <t>Proveedor:  ( 3561 )    ISIDRO MORENO CAMACHO</t>
  </si>
  <si>
    <t>Proveedor:  ( 3565 )    ESENCIA REPUTACIONAL SC</t>
  </si>
  <si>
    <t xml:space="preserve">Proveedor:  ( 103 )    FIDEICOMISO FORTMCK 18-01 TIZAYUCA  </t>
  </si>
  <si>
    <t xml:space="preserve">Proveedor:  ( 107 )    FIDEICOMISO FORTMCK 19-14 PLAZA AC LA PAZ SUR  </t>
  </si>
  <si>
    <t>Proveedor:  ( 113 )    ASOCIACION DE CONDOMINOS ALMAR LA PAZ, AC</t>
  </si>
  <si>
    <t>Proveedor:  ( 1177 )    FIDEICOMISO FORTMC19-18 TROPICANA</t>
  </si>
  <si>
    <t>Proveedor:  ( 3304 )    MAAT ABOGADOS SC</t>
  </si>
  <si>
    <t>Proveedor:  ( 3430 )    GRUPO DESARROLLADOR SEQUOYA SA DE CV / VELEMENT SA DE CV</t>
  </si>
  <si>
    <t>Proveedor:  ( 3839 )    DEPOSITOS POR IDENTIFICAR</t>
  </si>
  <si>
    <t>Relacionados a energia electriac</t>
  </si>
  <si>
    <t>Consultoría en desarrollo y construccion</t>
  </si>
  <si>
    <t xml:space="preserve">Acreedores </t>
  </si>
  <si>
    <t>Saldo en  miles</t>
  </si>
  <si>
    <t>Diferencia</t>
  </si>
  <si>
    <t>Comentarios</t>
  </si>
  <si>
    <t>No disponible</t>
  </si>
  <si>
    <t>Saldo 2024 en  miles</t>
  </si>
  <si>
    <t>Cuentas por pagar</t>
  </si>
  <si>
    <t>Cuentas por cobrar</t>
  </si>
  <si>
    <t xml:space="preserve">Proveedor:  ( 1081 )    Notaria 211 y 135 de la Ciudad de México </t>
  </si>
  <si>
    <t>Proveedor:  ( 1153 )    CORPORATIVO PYCESA S.A. DE C.V.</t>
  </si>
  <si>
    <t>Proveedor:  ( 1798 )    WRIGHT ADMON, S.A.DE C.V.</t>
  </si>
  <si>
    <t>Proveedor:  ( 2529 )    LUCIANO MEDINA ELENO</t>
  </si>
  <si>
    <t>Proveedor:  ( 2607 )    ITEGRA-HEXABYTE, S.A. DE C.V.</t>
  </si>
  <si>
    <t>Proveedor:  ( 2692 )    FPMEXICO ABOGADOS, S.A.</t>
  </si>
  <si>
    <t>Proveedor:  ( 3339 )    DEOLIVASE SA DE CV</t>
  </si>
  <si>
    <t>Proveedor:  ( 3342 )    IYG PROYECTO, CONSTRUCCION Y MANTENIMIENTO SA DE CV</t>
  </si>
  <si>
    <t>Proveedor:  ( 3343 )    CAPSTONE ADVISORS, SC</t>
  </si>
  <si>
    <t>Proveedor:  ( 3345 )    AMELO INFRAESTRUCTURA SA DE CV</t>
  </si>
  <si>
    <t>Proveedor:  ( 3353 )    CONSORCIO CONSTRUCTOR AA SA DE CV</t>
  </si>
  <si>
    <t>Proveedor:  ( 3354 )    BBSRED CORPORATIVO SA DE CV</t>
  </si>
  <si>
    <t>Proveedor:  ( 3843 )    WILLIAMS SCOTSMAN MEXICO S DE RL DE CV</t>
  </si>
  <si>
    <t>Proveedor:  ( 4000 )    FFM CONSUMO SA DE CV</t>
  </si>
  <si>
    <t>Saldo 2023</t>
  </si>
  <si>
    <t>Ok</t>
  </si>
  <si>
    <t>Saldo en pesos</t>
  </si>
  <si>
    <t>Los depósitos en garantía recibidos de clientes se mantienen como pasivo hasta que se cumplan las condiciones de entrega de los lotes y la firma del contrato definitivo de compraventa.</t>
  </si>
  <si>
    <t>Si la cancelación es solicitada voluntariamente por el cliente, el Fideicomiso evaluará caso por caso la devolución total o parcial de los depósitos recibidos. Mientras no exista resolución definitiva de la cancelación, dichos montos permanecen reconocidos como pasivo.</t>
  </si>
  <si>
    <t>El costo de adquisición del mobiliario y equipo que requieren de un periodo sustancial para estar en condiciones de uso incluye: el costo de adquisición y la capitalización del RIF devengado en dicho periodo, y atribuible a su adquisición.</t>
  </si>
  <si>
    <t xml:space="preserve">El costo de adquisición del mobiliario y equipo disminuido de su valor residual se deprecia de manera sistemática utilizando el método de línea recta con base en las vidas útiles de los componentes del mobiliario y equipo. </t>
  </si>
  <si>
    <t xml:space="preserve"> Derivado de la suspensión provisional de la obra durante el mes de agosto y hasta el 2 de diciembre de 2024, el Fideicomiso realizó los ajustes necesarios al presupuesto de avance físico-financiero de la obra, así como a su presupuesto económico general, considerando las diligencias y gestiones derivadas de dicho paro. Dichos ajustes fueron evaluados y autorizados por el Comité Interno y los responsables del proyecto, asegurando que los efectos identificados quedaran debidamente considerados en los presupuestos revisados. Derivado de lo anterior, el Fideicomiso reconoció en resultados los gastos incurridos por diversos trámites relacionados con este juicio. En consecuencia, el Fideicomiso considera que no existen pasivos contingentes adicionales que deban reconocerse contablemente, ya que no se han recibido reclamaciones firmes ni existen juicios que puedan ser cuantificables de manera confiable en su resultado adverso. Finalmente, al 31 de diciembre de 2024, no se tiene conocimiento de otros reclamos o gravámenes en curso.</t>
  </si>
  <si>
    <t>El Fideicomiso no mantiene cuentas por cobrar provenientes de clientes, ya que los importes recibidos relacionados con las operaciones de venta de inmuebles se registran como “Depósitos en garantía recibidos” en el pasivo hasta el momento en que se formaliza y se escritura la transacción; en ese momento se reconoce el ingreso correspondiente. Por lo anterior, no se requiere reconocer una estimación de pérdidas crediticias esperadas, dado que no existen cuentas por cobrar en el estado de situación financiera al cierre del ejercicio.</t>
  </si>
  <si>
    <t>Por cobrar:</t>
  </si>
  <si>
    <t>Fortem Capital I SC</t>
  </si>
  <si>
    <t>Fideicomiso Fortmck 18-08 Cine Apolo</t>
  </si>
  <si>
    <t>FC1 Desarrollo SAPI</t>
  </si>
  <si>
    <t>Asociación de condominos Almar la Laz AC</t>
  </si>
  <si>
    <t>Fideicomiso Irrevocable 3518</t>
  </si>
  <si>
    <t>Fideicomiso Fortmck 19-14 La Paz Sur</t>
  </si>
  <si>
    <t>Fideicomiso Fortmck 18-01 Tizayuca</t>
  </si>
  <si>
    <t>Cuentas por cobrar a partes relacionadas</t>
  </si>
  <si>
    <t>Proveedores y acreedores diversos</t>
  </si>
  <si>
    <t>Cuentas por pagar a partes relacionadas</t>
  </si>
  <si>
    <t>Saldo inicial</t>
  </si>
  <si>
    <t>Devoluciones y/o cancelaciones</t>
  </si>
  <si>
    <t xml:space="preserve"> -   </t>
  </si>
  <si>
    <t>Al 31 de diciembre de 2024 y 2023, los depósitos en garantía corresponden a montos entregados por terceros con la intención de adquirir inmuebles, estos montos no implican una compraventa formal hasta que se cumplan los requisitos legales correspondientes, incluyendo la escrituración y transferencia de los riesgos y beneficios del inmueble. Por lo tanto, se reconocen como pasivo a valor histórico. Las garantías retenidas corresponden a montos descontados a diversos proveedores por obligaciones contractuales, y serán devueltas conforme a los plazos y condiciones establecidos, los depósitos en garantía se detallan como sigue:</t>
  </si>
  <si>
    <t>Total Depósitos en garantía recibidos</t>
  </si>
  <si>
    <r>
      <t>5.</t>
    </r>
    <r>
      <rPr>
        <b/>
        <sz val="7"/>
        <color rgb="FF000000"/>
        <rFont val="Times New Roman"/>
        <family val="1"/>
      </rPr>
      <t xml:space="preserve">           </t>
    </r>
    <r>
      <rPr>
        <b/>
        <sz val="10"/>
        <color rgb="FF000000"/>
        <rFont val="Trebuchet MS"/>
        <family val="2"/>
      </rPr>
      <t xml:space="preserve">Inventarios inmobiliarios y costos pagados por anticipado </t>
    </r>
  </si>
  <si>
    <t xml:space="preserve">Inventarios inmobiliarios y costos pagados por anticipado </t>
  </si>
  <si>
    <t xml:space="preserve">Inventarios inmobiliarios </t>
  </si>
  <si>
    <t>Costos pagados por anticipado</t>
  </si>
  <si>
    <t xml:space="preserve">Total de Inventarios inmobiliarios </t>
  </si>
  <si>
    <t>Depósitos por promesas de compraventa</t>
  </si>
  <si>
    <r>
      <t xml:space="preserve">c.                   </t>
    </r>
    <r>
      <rPr>
        <b/>
        <i/>
        <sz val="10"/>
        <color rgb="FF000000"/>
        <rFont val="Trebuchet MS"/>
        <family val="2"/>
      </rPr>
      <t>Inventarios inmobiliarios y costos pagados por anticipado</t>
    </r>
  </si>
  <si>
    <t>Terrenos (i)</t>
  </si>
  <si>
    <t>Construcción en proceso (ii)</t>
  </si>
  <si>
    <t>Gastos legales, financieros y por trámites (iii)</t>
  </si>
  <si>
    <t>Gastos administrativos y de comercialización (iv)</t>
  </si>
  <si>
    <t>Otros pagos anticipados (v)</t>
  </si>
  <si>
    <t>j</t>
  </si>
  <si>
    <t xml:space="preserve">Total Inventarios inmobiliarios y costos pagados por anticipado </t>
  </si>
  <si>
    <t>3e y6</t>
  </si>
  <si>
    <t>3f y 7</t>
  </si>
  <si>
    <t>3h y 8</t>
  </si>
  <si>
    <t>9 y13</t>
  </si>
  <si>
    <t>3i y 11</t>
  </si>
  <si>
    <t>El monto acumulado de las erogaciones para la construcción del proyecto inmobiliario que lleva a cabo el Fideicomiso se reconoce y presenta en el rubro de inventarios inmobiliarios y costos pagados por anticipado. En el rubro de inventarios inmobiliarios se incluyen los conceptos de lotes y terrenos en los que ya le han sido traspasados los riesgos y beneficios, mientras que los costos pagados por anticipado corresponden a bienes por los que aún no le han sido traspasados dichos riesgos y beneficios y que le generarán beneficios económicos futuros.</t>
  </si>
  <si>
    <r>
      <t xml:space="preserve">e.                   </t>
    </r>
    <r>
      <rPr>
        <b/>
        <i/>
        <sz val="10"/>
        <color rgb="FF000000"/>
        <rFont val="Trebuchet MS"/>
        <family val="2"/>
      </rPr>
      <t xml:space="preserve">Proveedores, acreedores diversos </t>
    </r>
  </si>
  <si>
    <r>
      <t>f.                   D</t>
    </r>
    <r>
      <rPr>
        <b/>
        <i/>
        <sz val="10"/>
        <color rgb="FF000000"/>
        <rFont val="Trebuchet MS"/>
        <family val="2"/>
      </rPr>
      <t xml:space="preserve">epósitos en garantía recibidos </t>
    </r>
  </si>
  <si>
    <t>Los depósitos en garantía recibidos, corresponden a montos recibidos de terceros con el fin de fijar una intención de adquirir alguno o algunos inmuebles, se reconocen a valor histórico y se mantienen como pasivo hasta que se llega a un acuerdo de compra-venta de una propiedad en particular. El Fideicomiso da de baja los inmuebles una vez que se cumplen todos los requisitos de una venta en firme y se traspasan los beneficios y riesgos inherentes a la propiedad a través de la escrituración de los mismos.</t>
  </si>
  <si>
    <t>En caso de incumplimiento por cualquiera de las partes de las obligaciones pactadas en el contrato de promesa, la parte que incumpla estará obligada a pagar, en favor de la parte afectada, una pena convencional equivalente al veinte por ciento (20%) del total de las cantidades efectivamente recibidas a la fecha en que ocurra dicho incumplimiento. Asimismo, en caso de retrasos en el cumplimiento del plan de depósitos en garantía, se generarán intereses moratorios sobre las cantidades vencidas, calculados a la tasa pactada en el contrato, sin perjuicio de las demás acciones o derechos que correspondan.</t>
  </si>
  <si>
    <r>
      <t xml:space="preserve">g.                   </t>
    </r>
    <r>
      <rPr>
        <b/>
        <i/>
        <sz val="10"/>
        <color rgb="FF000000"/>
        <rFont val="Trebuchet MS"/>
        <family val="2"/>
      </rPr>
      <t xml:space="preserve">Impuesto sobre la Renta (ISR) causado y diferido </t>
    </r>
  </si>
  <si>
    <r>
      <t xml:space="preserve">h.                   </t>
    </r>
    <r>
      <rPr>
        <b/>
        <i/>
        <sz val="10"/>
        <color rgb="FF000000"/>
        <rFont val="Trebuchet MS"/>
        <family val="2"/>
      </rPr>
      <t>Préstamos bancarios</t>
    </r>
  </si>
  <si>
    <r>
      <t xml:space="preserve">i.                  </t>
    </r>
    <r>
      <rPr>
        <b/>
        <i/>
        <sz val="10"/>
        <color rgb="FF000000"/>
        <rFont val="Trebuchet MS"/>
        <family val="2"/>
      </rPr>
      <t>Patrimonio</t>
    </r>
  </si>
  <si>
    <r>
      <t xml:space="preserve">j.                  </t>
    </r>
    <r>
      <rPr>
        <b/>
        <i/>
        <sz val="10"/>
        <color rgb="FF000000"/>
        <rFont val="Trebuchet MS"/>
        <family val="2"/>
      </rPr>
      <t>Gastos de administración y operación</t>
    </r>
  </si>
  <si>
    <r>
      <t xml:space="preserve">k.                  </t>
    </r>
    <r>
      <rPr>
        <b/>
        <i/>
        <sz val="10"/>
        <color rgb="FF000000"/>
        <rFont val="Trebuchet MS"/>
        <family val="2"/>
      </rPr>
      <t xml:space="preserve">Diferencias cambiarias </t>
    </r>
  </si>
  <si>
    <r>
      <t xml:space="preserve">l.                  </t>
    </r>
    <r>
      <rPr>
        <b/>
        <i/>
        <sz val="10"/>
        <color rgb="FF000000"/>
        <rFont val="Trebuchet MS"/>
        <family val="2"/>
      </rPr>
      <t>Contingencias</t>
    </r>
  </si>
  <si>
    <t>De conformidad con la política contable de la Entidad, sólo se capitalizan aquellos costos que son directamente atribuibles a la adquisición, construcción o mejora de un activo y que generan beneficios económicos futuros. El Fideicomiso reconoce los gastos cuando se devengan, independientemente de cuándo se realice el pago, siguiendo la base de acumulación contable conforme a lo establecido en las Normas de Información Financiera aplicables. Los gastos operativos relacionados con la administración y operación del Fideicomiso se reconocen en resultados conforme se incurren. Todos aquellos que no cumplan con los criterios de capitalización, son reconocidos directamente en resultados, privilegiando el principio de prudencia y consistencia contable.</t>
  </si>
  <si>
    <t>Los inventarios inmobiliarios y costos pagados por anticipado incluyen desarrollos inmobiliarios residenciales los cuales se encuentran en proceso de urbanización y construcción de casa habitación principalmente. El Fideicomiso desarrolla los proyectos a través de la contratación de Constructoras y empresas especializadas en el mercado particular del proyecto lo que simplifica su ejecución y mejora su eficiencia.</t>
  </si>
  <si>
    <t>El Fideicomiso registra en el rubro de “Inventarios inmobiliarios” los conceptos de lotes y terrenos en los que ya han sido traspasados los riesgos y beneficios. Por su parte, los pagos que realiza a sus proveedores se registran como costos pagados por anticipado en tanto no le han sido traspasados los riesgos y beneficios del activo final; dichos costos pagados por anticipado deben presentarse de forma separada e incluyen las construcciones en proceso, los gastos legales, financieros y por trámites ante autoridades gubernamentales, así como los gastos de administración y comercialización. Ambos conceptos forman la cuenta de "Inventarios inmobiliarios y costos pagados por anticipado".</t>
  </si>
  <si>
    <t>(i) Los terrenos corresponden a bienes inmuebles adquiridos por el fideicomiso para su desarrollo o enajenación futura. Se clasifican como inventario inmobiliario y se reconocen al costo de adquisición, incluyendo gastos directamente atribuibles a su compra</t>
  </si>
  <si>
    <t>(ii) Las construcciones en proceso representan la inversión realizada en obras que se encuentran en ejecución y que aún no han sido concluidas ni destinadas a su uso final. Este rubro incluye los costos directos e indirectos atribuibles a la construcción, tales como materiales, mano de obra, servicios contratados y gastos relacionados con el desarrollo del proyecto.</t>
  </si>
  <si>
    <t>(iii) Los gastos legales, financieros y por trámites corresponden a los costos necesarios para la adecuada estructuración, financiamiento y regularización del proyecto. Este rubro incluye honorarios por asesoría legal y financiera, costos asociados a la obtención de permisos y licencias, derechos de registro, gastos notariales, así como comisiones bancarias o de financiamiento directamente relacionados.</t>
  </si>
  <si>
    <t>(iv) Los gastos administrativos y de comercialización comprenden los costos incurridos en la gestión, coordinación y promoción dirigidos a la comercialización del proyecto.</t>
  </si>
  <si>
    <t>(v) Los otros pagos anticipados corresponden a anticipos otorgados a proveedores y contratistas para la adquisición de bienes o servicios necesarios para la ejecución de dichas obras.</t>
  </si>
  <si>
    <t>Total Costos pagados por anticipado</t>
  </si>
  <si>
    <t>6.           Proveedores y acreedores diversos</t>
  </si>
  <si>
    <t>Al cierre del tercer trimestre de 2024 se han obtenido promesas de compraventa de 89 unidades habitacionales, 8 unidades multifamiliares, 3 unidades comerciales y el terreno de Naucalpan, con una superficie de 2.2 hectáreas, alcanzando un valor total comprometido de $926,005, este resultado representa un avance del 95% respecto al plan establecido y un progreso del 63%, lo que refleja un desempeño favorable a pesar de que durante algunos meses del año la obra se vio afectada por una suspensión temporal derivada de factores ajenos a la administración. Dicha suspensión fue levantada antes del cierre de diciembre, permitiendo retomar el ritmo normal de ejecución del proyecto, el cual mantiene bases sólidas que respaldan su continuidad y desarrollo.</t>
  </si>
  <si>
    <t>Con fecha 6 de marzo de 2024, el Fideicomiso realizó la cuarta disposición por un monto de $59,000 en el marco del contrato de crédito simple celebrado con NXX Capital Mezz I, S.A.P.I. de C.V., SOFOM, E.N.R., el 24 de agosto de 2023. La disposición fue estructurada con una entrega neta al acreditado de $55,124 reteniéndose $2,849 para la cuenta de reserva y $1,027 por concepto de comisión por estructuración. Los recursos solicitados se destinaron a diversos conceptos del proyecto, entre ellos ingeniería y construcción, dotación de energía eléctrica, publicidad, estudios de impacto ambiental y seguridad en obra. Esta disposición devenga intereses ordinarios a una tasa anual del 18%, conforme a las condiciones establecidas en el contrato de crédito, cabe destacar que los intereses devengados se facturan y liquidan en el mismo mes, contribuyendo a una mayor solidez en los flujos de efectivo.</t>
  </si>
  <si>
    <t xml:space="preserve">7.          Depósitos en garantía recibidos </t>
  </si>
  <si>
    <t xml:space="preserve">8.           Préstamos a largo plazo </t>
  </si>
  <si>
    <t xml:space="preserve">9.           Otras aportaciones del Fideicomitente </t>
  </si>
  <si>
    <r>
      <t>10.</t>
    </r>
    <r>
      <rPr>
        <b/>
        <sz val="7"/>
        <color rgb="FF000000"/>
        <rFont val="Times New Roman"/>
        <family val="1"/>
      </rPr>
      <t xml:space="preserve">           </t>
    </r>
    <r>
      <rPr>
        <b/>
        <sz val="10"/>
        <color rgb="FF000000"/>
        <rFont val="Trebuchet MS"/>
        <family val="2"/>
      </rPr>
      <t xml:space="preserve">Impuestos a la utilidad </t>
    </r>
  </si>
  <si>
    <r>
      <t>11.</t>
    </r>
    <r>
      <rPr>
        <b/>
        <sz val="7"/>
        <color rgb="FF000000"/>
        <rFont val="Times New Roman"/>
        <family val="1"/>
      </rPr>
      <t xml:space="preserve">           </t>
    </r>
    <r>
      <rPr>
        <b/>
        <sz val="10"/>
        <color rgb="FF000000"/>
        <rFont val="Trebuchet MS"/>
        <family val="2"/>
      </rPr>
      <t>Patrimonio</t>
    </r>
  </si>
  <si>
    <r>
      <t>12.</t>
    </r>
    <r>
      <rPr>
        <b/>
        <sz val="7"/>
        <color rgb="FF000000"/>
        <rFont val="Times New Roman"/>
        <family val="1"/>
      </rPr>
      <t xml:space="preserve">           </t>
    </r>
    <r>
      <rPr>
        <b/>
        <sz val="10"/>
        <color rgb="FF000000"/>
        <rFont val="Trebuchet MS"/>
        <family val="2"/>
      </rPr>
      <t>Tabla de vencimientos de los principales activos y pasivos</t>
    </r>
  </si>
  <si>
    <r>
      <t>13.</t>
    </r>
    <r>
      <rPr>
        <b/>
        <sz val="7"/>
        <color rgb="FF000000"/>
        <rFont val="Times New Roman"/>
        <family val="1"/>
      </rPr>
      <t xml:space="preserve">           </t>
    </r>
    <r>
      <rPr>
        <b/>
        <sz val="10"/>
        <color rgb="FF000000"/>
        <rFont val="Trebuchet MS"/>
        <family val="2"/>
      </rPr>
      <t>Transacciones con partes relacionadas</t>
    </r>
  </si>
  <si>
    <r>
      <t>14.</t>
    </r>
    <r>
      <rPr>
        <b/>
        <sz val="7"/>
        <color rgb="FF000000"/>
        <rFont val="Times New Roman"/>
        <family val="1"/>
      </rPr>
      <t xml:space="preserve">           </t>
    </r>
    <r>
      <rPr>
        <b/>
        <sz val="10"/>
        <color rgb="FF000000"/>
        <rFont val="Trebuchet MS"/>
        <family val="2"/>
      </rPr>
      <t>Contingencias</t>
    </r>
  </si>
  <si>
    <r>
      <t>15.</t>
    </r>
    <r>
      <rPr>
        <b/>
        <sz val="7"/>
        <color rgb="FF000000"/>
        <rFont val="Times New Roman"/>
        <family val="1"/>
      </rPr>
      <t xml:space="preserve">           </t>
    </r>
    <r>
      <rPr>
        <b/>
        <sz val="10"/>
        <color rgb="FF000000"/>
        <rFont val="Trebuchet MS"/>
        <family val="2"/>
      </rPr>
      <t>Compromisos contraídos</t>
    </r>
  </si>
  <si>
    <r>
      <t>16.</t>
    </r>
    <r>
      <rPr>
        <b/>
        <sz val="7"/>
        <color rgb="FF000000"/>
        <rFont val="Times New Roman"/>
        <family val="1"/>
      </rPr>
      <t xml:space="preserve">           </t>
    </r>
    <r>
      <rPr>
        <b/>
        <sz val="10"/>
        <color rgb="FF000000"/>
        <rFont val="Trebuchet MS"/>
        <family val="2"/>
      </rPr>
      <t>Autorización de la emisión de los estados financieros</t>
    </r>
  </si>
  <si>
    <t>Al 31 de diciembre de 2024 y 2023, como consecuencia de las operaciones propias de su actividad, el Fideicomiso identifica, monitorea y evalúa diversos criterios o asuntos que pudieran representar una contingencia económica, fiscal o reputacional, los cuales se comunican a los responsables del gobierno de la entidad ya que por su naturaleza pueden tener impacto en el futuro en caso de que cambien las circunstancias actuales. En este sentido, el Juicio Ordinario Civil 1047/2022 promovido por Fraccionamientos y Construcciones en contra del Fideicomiso ACTINVER F/4341 concluyó con sentencia definitiva del 13 de diciembre de 2023 que absolvió al fideicomiso de las reclamaciones presentadas. La sentencia fue confirmada en apelación y actualmente se encuentra en trámite un Juicio de Amparo Directo, sin que se prevea un impacto económico relevante.</t>
  </si>
  <si>
    <t>Durante el mes de agosto de 2024 se ordenó la suspensión provisional de la obra "Terralago" relacionada con el Juicio de Amparo Indirecto 1018/2024, derivada de la solicitud presentada por vecinos del Fraccionamiento Lomas Verdes. El equipo jurídico del Fideicomiso atendió el procedimiento hasta que, el 2 de diciembre de 2024, se dictó Sentencia Interlocutoria favorable al Fideicomiso, en la que se negó la suspensión definitiva solicitada y se levantó la suspensión provisional otorgada previamente, por lo que al cierre de 2024 el proyecto se encontraba operando con normalidad. Con base en la confirmación de los asesores legales externos, se considera que el procedimiento carece de fundamentos suficientes y existe alta probabilidad de que la resolución final sea favorable al Fideicomiso, por lo que la probabilidad de pérdida se considera remota.</t>
  </si>
  <si>
    <t>, cuenta con compromisos propios de la operación y los que se mencionan en la Nota 9 de “Otras aportaciones del Fideicomitente ".</t>
  </si>
  <si>
    <t>Estos desarrollos inmobiliarios garantizan los préstamos que se mencionan en la Nota 8, e incluyen la capitalización al cierre de 2024 y 2023 de $ 79,785 y $ 22,958 por costos financieros.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</si>
</sst>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41" formatCode="_-* #,##0_-;\-* #,##0_-;_-* &quot;-&quot;_-;_-@_-"/>
    <numFmt numFmtId="44" formatCode="_-&quot;$&quot;* #,##0.00_-;\-&quot;$&quot;* #,##0.00_-;_-&quot;$&quot;* &quot;-&quot;??_-;_-@_-"/>
    <numFmt numFmtId="43" formatCode="_-* #,##0.00_-;\-* #,##0.00_-;_-* &quot;-&quot;??_-;_-@_-"/>
    <numFmt numFmtId="164" formatCode="_-* #,##0_-;\-* #,##0_-;_-* &quot;-&quot;??_-;_-@_-"/>
    <numFmt numFmtId="165" formatCode="0000"/>
    <numFmt numFmtId="166" formatCode="&quot;$&quot;###,###,###,###,##0.00"/>
    <numFmt numFmtId="167" formatCode="&quot;$&quot;#,##0;&quot;$&quot;\(#,##0\)"/>
    <numFmt numFmtId="168" formatCode="#,##0;\(#,##0\)"/>
    <numFmt numFmtId="169" formatCode="_(* #,##0_);_(* \(#,##0\);_(* &quot;-&quot;??_);_(@_)"/>
    <numFmt numFmtId="170" formatCode="_-* #,##0.0_-;\-* #,##0.0_-;_-* &quot;-&quot;??_-;_-@_-"/>
  </numFmts>
  <fonts count="75">
    <font>
      <sz val="10"/>
      <color rgb="FF000000"/>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0"/>
      <color indexed="63"/>
      <name val="Calibri Light"/>
      <family val="2"/>
    </font>
    <font>
      <sz val="10"/>
      <color rgb="FF000000"/>
      <name val="Calibri Light"/>
      <family val="2"/>
    </font>
    <font>
      <sz val="10"/>
      <color rgb="FF000000"/>
      <name val="Aptos Narrow"/>
      <family val="2"/>
      <scheme val="minor"/>
    </font>
    <font>
      <sz val="10"/>
      <color indexed="63"/>
      <name val="Calibri Light"/>
      <family val="2"/>
    </font>
    <font>
      <b/>
      <sz val="10"/>
      <name val="Calibri Light"/>
      <family val="2"/>
    </font>
    <font>
      <sz val="10"/>
      <color rgb="FFFF0000"/>
      <name val="Calibri Light"/>
      <family val="2"/>
    </font>
    <font>
      <b/>
      <sz val="10"/>
      <color rgb="FF000000"/>
      <name val="Trebuchet MS"/>
      <family val="2"/>
    </font>
    <font>
      <b/>
      <sz val="9"/>
      <color rgb="FF000000"/>
      <name val="Trebuchet MS"/>
      <family val="2"/>
    </font>
    <font>
      <sz val="10"/>
      <color rgb="FF000000"/>
      <name val="Trebuchet MS"/>
      <family val="2"/>
    </font>
    <font>
      <u/>
      <sz val="10"/>
      <color rgb="FF000000"/>
      <name val="Trebuchet MS"/>
      <family val="2"/>
    </font>
    <font>
      <u val="double"/>
      <sz val="10"/>
      <color rgb="FF000000"/>
      <name val="Trebuchet MS"/>
      <family val="2"/>
    </font>
    <font>
      <b/>
      <sz val="14"/>
      <color rgb="FF000000"/>
      <name val="Trebuchet MS"/>
      <family val="2"/>
    </font>
    <font>
      <sz val="11"/>
      <color rgb="FF000000"/>
      <name val="Trebuchet MS"/>
      <family val="2"/>
    </font>
    <font>
      <b/>
      <sz val="20"/>
      <color rgb="FF000000"/>
      <name val="Trebuchet MS"/>
      <family val="2"/>
    </font>
    <font>
      <sz val="11"/>
      <color rgb="FF000000"/>
      <name val="Calibri"/>
      <family val="2"/>
    </font>
    <font>
      <b/>
      <sz val="11"/>
      <color theme="3"/>
      <name val="Aptos Narrow"/>
      <family val="2"/>
      <scheme val="minor"/>
    </font>
    <font>
      <b/>
      <sz val="11"/>
      <color theme="3"/>
      <name val="Trebuchet MS"/>
      <family val="2"/>
    </font>
    <font>
      <sz val="10"/>
      <color theme="1"/>
      <name val="Trebuchet MS"/>
      <family val="2"/>
    </font>
    <font>
      <b/>
      <sz val="8"/>
      <color indexed="63"/>
      <name val="Arial"/>
      <family val="2"/>
    </font>
    <font>
      <sz val="8"/>
      <color indexed="63"/>
      <name val="Arial"/>
      <family val="2"/>
    </font>
    <font>
      <sz val="11"/>
      <color rgb="FF000000"/>
      <name val="Times New Roman"/>
      <family val="1"/>
    </font>
    <font>
      <b/>
      <sz val="12"/>
      <color rgb="FF000000"/>
      <name val="Trebuchet MS"/>
      <family val="2"/>
    </font>
    <font>
      <b/>
      <sz val="7"/>
      <color rgb="FF000000"/>
      <name val="Times New Roman"/>
      <family val="1"/>
    </font>
    <font>
      <b/>
      <sz val="8"/>
      <color rgb="FF000000"/>
      <name val="Trebuchet MS"/>
      <family val="2"/>
    </font>
    <font>
      <b/>
      <sz val="8"/>
      <color rgb="FF000000"/>
      <name val="Aptos Narrow"/>
      <family val="2"/>
      <scheme val="minor"/>
    </font>
    <font>
      <b/>
      <sz val="10.5"/>
      <color rgb="FF000000"/>
      <name val="Trebuchet MS"/>
      <family val="2"/>
    </font>
    <font>
      <sz val="9"/>
      <color rgb="FF000000"/>
      <name val="Trebuchet MS"/>
      <family val="2"/>
    </font>
    <font>
      <sz val="10"/>
      <color rgb="FF000000"/>
      <name val="Aptos Narrow"/>
      <family val="2"/>
      <scheme val="minor"/>
    </font>
    <font>
      <b/>
      <sz val="12.5"/>
      <color rgb="FF000000"/>
      <name val="Trebuchet MS"/>
      <family val="2"/>
    </font>
    <font>
      <sz val="10.5"/>
      <color rgb="FF000000"/>
      <name val="Trebuchet MS"/>
      <family val="2"/>
    </font>
    <font>
      <b/>
      <sz val="11"/>
      <color rgb="FF000000"/>
      <name val="Trebuchet MS"/>
      <family val="2"/>
    </font>
    <font>
      <b/>
      <sz val="30.5"/>
      <color rgb="FF000000"/>
      <name val="Trebuchet MS"/>
      <family val="2"/>
    </font>
    <font>
      <b/>
      <sz val="8.5"/>
      <color rgb="FF000000"/>
      <name val="Trebuchet MS"/>
      <family val="2"/>
    </font>
    <font>
      <sz val="8.5"/>
      <color rgb="FF000000"/>
      <name val="Trebuchet MS"/>
      <family val="2"/>
    </font>
    <font>
      <b/>
      <i/>
      <sz val="8.5"/>
      <color rgb="FF000000"/>
      <name val="Trebuchet MS"/>
      <family val="2"/>
    </font>
    <font>
      <b/>
      <i/>
      <sz val="11"/>
      <color rgb="FF000000"/>
      <name val="Trebuchet MS"/>
      <family val="2"/>
    </font>
    <font>
      <sz val="9.5"/>
      <color rgb="FF000000"/>
      <name val="Trebuchet MS"/>
      <family val="2"/>
    </font>
    <font>
      <sz val="8.5"/>
      <color rgb="FF000000"/>
      <name val="Symbol"/>
      <family val="1"/>
      <charset val="2"/>
    </font>
    <font>
      <sz val="7"/>
      <color rgb="FF000000"/>
      <name val="Times New Roman"/>
      <family val="1"/>
    </font>
    <font>
      <sz val="8"/>
      <color rgb="FF000000"/>
      <name val="Trebuchet MS"/>
      <family val="2"/>
    </font>
    <font>
      <b/>
      <i/>
      <sz val="10"/>
      <color rgb="FF000000"/>
      <name val="Times New Roman"/>
      <family val="1"/>
    </font>
    <font>
      <b/>
      <i/>
      <sz val="7"/>
      <color rgb="FF000000"/>
      <name val="Times New Roman"/>
      <family val="1"/>
    </font>
    <font>
      <b/>
      <i/>
      <sz val="10"/>
      <color rgb="FF000000"/>
      <name val="Trebuchet MS"/>
      <family val="2"/>
    </font>
    <font>
      <b/>
      <sz val="9.5"/>
      <color rgb="FF000000"/>
      <name val="Trebuchet MS"/>
      <family val="2"/>
    </font>
    <font>
      <sz val="10"/>
      <color rgb="FF000000"/>
      <name val="Symbol"/>
      <family val="1"/>
      <charset val="2"/>
    </font>
    <font>
      <sz val="8"/>
      <color rgb="FF000000"/>
      <name val="Aptos Narrow"/>
      <family val="2"/>
      <scheme val="minor"/>
    </font>
    <font>
      <sz val="10"/>
      <name val="Arial"/>
      <family val="2"/>
    </font>
    <font>
      <sz val="8"/>
      <color indexed="63"/>
      <name val="Arial"/>
      <family val="2"/>
    </font>
    <font>
      <b/>
      <sz val="10"/>
      <name val="Arial"/>
      <family val="2"/>
    </font>
    <font>
      <sz val="10"/>
      <name val="Arial"/>
      <family val="2"/>
    </font>
    <font>
      <b/>
      <sz val="10"/>
      <color rgb="FF000000"/>
      <name val="Calibri Light"/>
      <family val="2"/>
    </font>
    <font>
      <b/>
      <sz val="10"/>
      <name val="Aptos Display"/>
      <family val="2"/>
      <scheme val="major"/>
    </font>
    <font>
      <b/>
      <sz val="10"/>
      <color rgb="FF000000"/>
      <name val="Times New Roman"/>
      <family val="1"/>
    </font>
    <font>
      <sz val="10"/>
      <color rgb="FF000000"/>
      <name val="Times New Roman"/>
      <family val="1"/>
    </font>
    <font>
      <sz val="10"/>
      <color rgb="FF000000"/>
      <name val="Aptos Narrow"/>
      <family val="2"/>
    </font>
    <font>
      <b/>
      <sz val="10"/>
      <color theme="1"/>
      <name val="Calibri"/>
      <family val="2"/>
    </font>
    <font>
      <b/>
      <sz val="10"/>
      <color theme="1"/>
      <name val="Aptos Display"/>
      <family val="2"/>
      <scheme val="major"/>
    </font>
    <font>
      <b/>
      <sz val="10"/>
      <name val="Calibri Light "/>
    </font>
    <font>
      <sz val="9"/>
      <color indexed="81"/>
      <name val="Tahoma"/>
      <family val="2"/>
    </font>
    <font>
      <sz val="9"/>
      <color rgb="FF000000"/>
      <name val="Calibri Light"/>
      <family val="2"/>
    </font>
    <font>
      <sz val="10"/>
      <color theme="8" tint="-0.249977111117893"/>
      <name val="Aptos Display"/>
      <family val="2"/>
      <scheme val="major"/>
    </font>
    <font>
      <sz val="10"/>
      <color theme="8" tint="-0.249977111117893"/>
      <name val="Aptos Narrow"/>
      <family val="2"/>
      <scheme val="minor"/>
    </font>
    <font>
      <sz val="9"/>
      <name val="Calibri Light "/>
    </font>
    <font>
      <sz val="10"/>
      <color theme="1"/>
      <name val="Calibri Light"/>
      <family val="2"/>
    </font>
    <font>
      <sz val="10"/>
      <color rgb="FFFF0000"/>
      <name val="Aptos Narrow"/>
      <family val="2"/>
      <scheme val="minor"/>
    </font>
    <font>
      <sz val="10"/>
      <color rgb="FFFF0000"/>
      <name val="Trebuchet MS"/>
      <family val="2"/>
    </font>
    <font>
      <b/>
      <sz val="8"/>
      <color rgb="FFFF0000"/>
      <name val="Trebuchet MS"/>
      <family val="2"/>
    </font>
    <font>
      <b/>
      <sz val="10"/>
      <color rgb="FFFF0000"/>
      <name val="Trebuchet MS"/>
      <family val="2"/>
    </font>
    <font>
      <sz val="9"/>
      <color rgb="FFFF0000"/>
      <name val="Trebuchet MS"/>
      <family val="2"/>
    </font>
  </fonts>
  <fills count="11">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tint="-0.14999847407452621"/>
        <bgColor indexed="64"/>
      </patternFill>
    </fill>
    <fill>
      <patternFill patternType="solid">
        <fgColor theme="9" tint="0.39997558519241921"/>
        <bgColor indexed="64"/>
      </patternFill>
    </fill>
  </fills>
  <borders count="5">
    <border>
      <left/>
      <right/>
      <top/>
      <bottom/>
      <diagonal/>
    </border>
    <border>
      <left/>
      <right/>
      <top/>
      <bottom style="medium">
        <color theme="4" tint="0.39997558519241921"/>
      </bottom>
      <diagonal/>
    </border>
    <border>
      <left/>
      <right/>
      <top/>
      <bottom style="thin">
        <color indexed="64"/>
      </bottom>
      <diagonal/>
    </border>
    <border>
      <left/>
      <right/>
      <top/>
      <bottom style="double">
        <color indexed="64"/>
      </bottom>
      <diagonal/>
    </border>
    <border>
      <left/>
      <right/>
      <top/>
      <bottom style="double">
        <color theme="7" tint="0.39997558519241921"/>
      </bottom>
      <diagonal/>
    </border>
  </borders>
  <cellStyleXfs count="14">
    <xf numFmtId="0" fontId="0" fillId="0" borderId="0"/>
    <xf numFmtId="43" fontId="8" fillId="0" borderId="0" applyFont="0" applyFill="0" applyBorder="0" applyAlignment="0" applyProtection="0"/>
    <xf numFmtId="0" fontId="5" fillId="0" borderId="0"/>
    <xf numFmtId="43" fontId="5" fillId="0" borderId="0" applyFont="0" applyFill="0" applyBorder="0" applyAlignment="0" applyProtection="0"/>
    <xf numFmtId="0" fontId="21" fillId="0" borderId="1" applyNumberFormat="0" applyFill="0" applyAlignment="0" applyProtection="0"/>
    <xf numFmtId="44" fontId="33" fillId="0" borderId="0" applyFont="0" applyFill="0" applyBorder="0" applyAlignment="0" applyProtection="0"/>
    <xf numFmtId="0" fontId="52" fillId="0" borderId="0"/>
    <xf numFmtId="0" fontId="33" fillId="0" borderId="0"/>
    <xf numFmtId="0" fontId="2" fillId="0" borderId="0"/>
    <xf numFmtId="43" fontId="2" fillId="0" borderId="0" applyFont="0" applyFill="0" applyBorder="0" applyAlignment="0" applyProtection="0"/>
    <xf numFmtId="0" fontId="55" fillId="0" borderId="0"/>
    <xf numFmtId="43" fontId="8" fillId="0" borderId="0" applyFont="0" applyFill="0" applyBorder="0" applyAlignment="0" applyProtection="0"/>
    <xf numFmtId="9" fontId="33" fillId="0" borderId="0" applyFont="0" applyFill="0" applyBorder="0" applyAlignment="0" applyProtection="0"/>
    <xf numFmtId="43" fontId="8" fillId="0" borderId="0" applyFont="0" applyFill="0" applyBorder="0" applyAlignment="0" applyProtection="0"/>
  </cellStyleXfs>
  <cellXfs count="329">
    <xf numFmtId="0" fontId="0" fillId="0" borderId="0" xfId="0"/>
    <xf numFmtId="0" fontId="7" fillId="0" borderId="0" xfId="0" applyFont="1"/>
    <xf numFmtId="164" fontId="7" fillId="0" borderId="0" xfId="1" applyNumberFormat="1" applyFont="1"/>
    <xf numFmtId="49" fontId="6" fillId="0" borderId="0" xfId="0" applyNumberFormat="1" applyFont="1" applyAlignment="1">
      <alignment horizontal="center" vertical="center" wrapText="1"/>
    </xf>
    <xf numFmtId="164" fontId="6" fillId="0" borderId="0" xfId="1" applyNumberFormat="1" applyFont="1" applyAlignment="1">
      <alignment horizontal="center" vertical="center" wrapText="1"/>
    </xf>
    <xf numFmtId="0" fontId="7" fillId="0" borderId="0" xfId="0" applyFont="1" applyAlignment="1">
      <alignment horizontal="center" vertical="center"/>
    </xf>
    <xf numFmtId="165" fontId="6" fillId="2" borderId="0" xfId="0" applyNumberFormat="1" applyFont="1" applyFill="1" applyAlignment="1">
      <alignment horizontal="right" vertical="top"/>
    </xf>
    <xf numFmtId="165" fontId="6" fillId="2" borderId="0" xfId="0" applyNumberFormat="1" applyFont="1" applyFill="1" applyAlignment="1">
      <alignment vertical="top"/>
    </xf>
    <xf numFmtId="49" fontId="6" fillId="2" borderId="0" xfId="0" applyNumberFormat="1" applyFont="1" applyFill="1" applyAlignment="1">
      <alignment vertical="top" wrapText="1"/>
    </xf>
    <xf numFmtId="0" fontId="10" fillId="0" borderId="0" xfId="0" applyFont="1"/>
    <xf numFmtId="165" fontId="9" fillId="3" borderId="0" xfId="0" applyNumberFormat="1" applyFont="1" applyFill="1" applyAlignment="1">
      <alignment horizontal="right" vertical="top"/>
    </xf>
    <xf numFmtId="165" fontId="9" fillId="3" borderId="0" xfId="0" applyNumberFormat="1" applyFont="1" applyFill="1" applyAlignment="1">
      <alignment vertical="top"/>
    </xf>
    <xf numFmtId="49" fontId="9" fillId="3" borderId="0" xfId="0" applyNumberFormat="1" applyFont="1" applyFill="1" applyAlignment="1">
      <alignment vertical="top" wrapText="1"/>
    </xf>
    <xf numFmtId="164" fontId="9" fillId="0" borderId="0" xfId="1" applyNumberFormat="1" applyFont="1" applyAlignment="1">
      <alignment vertical="top"/>
    </xf>
    <xf numFmtId="165" fontId="9" fillId="0" borderId="0" xfId="0" applyNumberFormat="1" applyFont="1" applyAlignment="1">
      <alignment horizontal="right" vertical="top"/>
    </xf>
    <xf numFmtId="165" fontId="9" fillId="0" borderId="0" xfId="0" applyNumberFormat="1" applyFont="1" applyAlignment="1">
      <alignment vertical="top"/>
    </xf>
    <xf numFmtId="49" fontId="9" fillId="0" borderId="0" xfId="0" applyNumberFormat="1" applyFont="1" applyAlignment="1">
      <alignment vertical="top" wrapText="1"/>
    </xf>
    <xf numFmtId="166" fontId="9" fillId="0" borderId="0" xfId="0" applyNumberFormat="1" applyFont="1" applyAlignment="1">
      <alignment vertical="top"/>
    </xf>
    <xf numFmtId="0" fontId="7" fillId="4" borderId="0" xfId="0" applyFont="1" applyFill="1"/>
    <xf numFmtId="49" fontId="9" fillId="4" borderId="0" xfId="0" applyNumberFormat="1" applyFont="1" applyFill="1" applyAlignment="1">
      <alignment vertical="top" wrapText="1"/>
    </xf>
    <xf numFmtId="0" fontId="5" fillId="0" borderId="0" xfId="2"/>
    <xf numFmtId="4" fontId="0" fillId="0" borderId="0" xfId="0" applyNumberFormat="1"/>
    <xf numFmtId="164" fontId="6" fillId="2" borderId="0" xfId="1" applyNumberFormat="1" applyFont="1" applyFill="1" applyAlignment="1">
      <alignment vertical="top"/>
    </xf>
    <xf numFmtId="166" fontId="9" fillId="3" borderId="0" xfId="0" applyNumberFormat="1" applyFont="1" applyFill="1" applyAlignment="1">
      <alignment vertical="top"/>
    </xf>
    <xf numFmtId="164" fontId="9" fillId="3" borderId="0" xfId="1" applyNumberFormat="1" applyFont="1" applyFill="1" applyAlignment="1">
      <alignment vertical="top"/>
    </xf>
    <xf numFmtId="164" fontId="9" fillId="5" borderId="0" xfId="1" applyNumberFormat="1" applyFont="1" applyFill="1" applyAlignment="1">
      <alignment vertical="top"/>
    </xf>
    <xf numFmtId="0" fontId="12" fillId="0" borderId="0" xfId="0" applyFont="1" applyAlignment="1">
      <alignment vertical="center" wrapText="1"/>
    </xf>
    <xf numFmtId="0" fontId="13"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indent="1"/>
    </xf>
    <xf numFmtId="6" fontId="14" fillId="0" borderId="0" xfId="0" applyNumberFormat="1" applyFont="1" applyAlignment="1">
      <alignment vertical="center" wrapText="1"/>
    </xf>
    <xf numFmtId="0" fontId="14" fillId="0" borderId="0" xfId="0" applyFont="1" applyAlignment="1">
      <alignment horizontal="left" vertical="center" wrapText="1" indent="3"/>
    </xf>
    <xf numFmtId="3" fontId="15" fillId="0" borderId="0" xfId="0" applyNumberFormat="1" applyFont="1" applyAlignment="1">
      <alignment vertical="center" wrapText="1"/>
    </xf>
    <xf numFmtId="0" fontId="14" fillId="0" borderId="0" xfId="0" applyFont="1" applyAlignment="1">
      <alignment horizontal="left" vertical="center" wrapText="1" indent="8"/>
    </xf>
    <xf numFmtId="3" fontId="14" fillId="0" borderId="0" xfId="0" applyNumberFormat="1" applyFont="1" applyAlignment="1">
      <alignment vertical="center" wrapText="1"/>
    </xf>
    <xf numFmtId="0" fontId="18" fillId="0" borderId="0" xfId="0" applyFont="1" applyAlignment="1">
      <alignment horizontal="left" vertical="center" indent="6"/>
    </xf>
    <xf numFmtId="0" fontId="19" fillId="0" borderId="0" xfId="0" applyFont="1" applyAlignment="1">
      <alignment vertical="center"/>
    </xf>
    <xf numFmtId="0" fontId="12" fillId="0" borderId="0" xfId="0" applyFont="1" applyAlignment="1">
      <alignment vertical="center"/>
    </xf>
    <xf numFmtId="0" fontId="14" fillId="0" borderId="0" xfId="0" applyFont="1" applyAlignment="1">
      <alignment vertical="center"/>
    </xf>
    <xf numFmtId="0" fontId="20" fillId="0" borderId="0" xfId="0" applyFont="1" applyAlignment="1">
      <alignment wrapText="1"/>
    </xf>
    <xf numFmtId="0" fontId="14" fillId="0" borderId="0" xfId="0" applyFont="1" applyAlignment="1">
      <alignment wrapText="1"/>
    </xf>
    <xf numFmtId="0" fontId="14" fillId="0" borderId="0" xfId="0" applyFont="1" applyAlignment="1">
      <alignment horizontal="left" vertical="center" wrapText="1" indent="4"/>
    </xf>
    <xf numFmtId="0" fontId="14" fillId="0" borderId="0" xfId="0" applyFont="1" applyAlignment="1">
      <alignment horizontal="right" vertical="center"/>
    </xf>
    <xf numFmtId="167" fontId="14" fillId="0" borderId="0" xfId="0" applyNumberFormat="1" applyFont="1" applyAlignment="1">
      <alignment vertical="center" wrapText="1"/>
    </xf>
    <xf numFmtId="168" fontId="14" fillId="0" borderId="0" xfId="0" applyNumberFormat="1" applyFont="1" applyAlignment="1">
      <alignment vertical="center" wrapText="1"/>
    </xf>
    <xf numFmtId="0" fontId="17" fillId="0" borderId="0" xfId="0" applyFont="1" applyAlignment="1">
      <alignment horizontal="left" vertical="center"/>
    </xf>
    <xf numFmtId="0" fontId="14" fillId="0" borderId="0" xfId="0" applyFont="1"/>
    <xf numFmtId="0" fontId="22" fillId="0" borderId="1" xfId="4" applyFont="1" applyAlignment="1">
      <alignment horizontal="center"/>
    </xf>
    <xf numFmtId="0" fontId="23" fillId="0" borderId="0" xfId="0" applyFont="1"/>
    <xf numFmtId="0" fontId="23" fillId="0" borderId="0" xfId="0" applyFont="1" applyAlignment="1">
      <alignment vertical="center"/>
    </xf>
    <xf numFmtId="0" fontId="23" fillId="0" borderId="0" xfId="0" applyFont="1" applyAlignment="1">
      <alignment horizontal="left" vertical="center"/>
    </xf>
    <xf numFmtId="49" fontId="25" fillId="0" borderId="0" xfId="0" applyNumberFormat="1" applyFont="1" applyAlignment="1">
      <alignment vertical="top" wrapText="1"/>
    </xf>
    <xf numFmtId="167" fontId="16" fillId="0" borderId="0" xfId="0" applyNumberFormat="1" applyFont="1" applyAlignment="1">
      <alignment vertical="center" wrapText="1"/>
    </xf>
    <xf numFmtId="0" fontId="18" fillId="0" borderId="0" xfId="0" applyFont="1" applyAlignment="1">
      <alignment vertical="center"/>
    </xf>
    <xf numFmtId="0" fontId="20" fillId="0" borderId="0" xfId="0" applyFont="1" applyAlignment="1">
      <alignment vertical="center"/>
    </xf>
    <xf numFmtId="0" fontId="15" fillId="0" borderId="0" xfId="0" applyFont="1" applyAlignment="1">
      <alignment vertical="center"/>
    </xf>
    <xf numFmtId="3" fontId="15" fillId="0" borderId="0" xfId="0" applyNumberFormat="1" applyFont="1" applyAlignment="1">
      <alignment vertical="center"/>
    </xf>
    <xf numFmtId="0" fontId="20" fillId="0" borderId="0" xfId="0" applyFont="1"/>
    <xf numFmtId="0" fontId="13" fillId="6" borderId="0" xfId="0" applyFont="1" applyFill="1" applyAlignment="1">
      <alignment horizontal="center" vertical="center"/>
    </xf>
    <xf numFmtId="0" fontId="26" fillId="0" borderId="0" xfId="0" applyFont="1" applyAlignment="1">
      <alignment vertical="center" wrapText="1"/>
    </xf>
    <xf numFmtId="6" fontId="14" fillId="0" borderId="0" xfId="0" applyNumberFormat="1" applyFont="1" applyAlignment="1">
      <alignment vertical="center"/>
    </xf>
    <xf numFmtId="3" fontId="14" fillId="0" borderId="0" xfId="0" applyNumberFormat="1" applyFont="1" applyAlignment="1">
      <alignment vertical="center"/>
    </xf>
    <xf numFmtId="6" fontId="16" fillId="0" borderId="0" xfId="0" applyNumberFormat="1" applyFont="1" applyAlignment="1">
      <alignment vertical="center"/>
    </xf>
    <xf numFmtId="0" fontId="12" fillId="0" borderId="0" xfId="0" applyFont="1" applyAlignment="1">
      <alignment horizontal="center" vertical="center"/>
    </xf>
    <xf numFmtId="0" fontId="20" fillId="0" borderId="0" xfId="0" applyFont="1" applyAlignment="1">
      <alignment vertical="center" wrapText="1"/>
    </xf>
    <xf numFmtId="0" fontId="14" fillId="0" borderId="0" xfId="0" applyFont="1" applyAlignment="1">
      <alignment horizontal="left" vertical="center" indent="1"/>
    </xf>
    <xf numFmtId="0" fontId="13" fillId="6" borderId="0" xfId="0" applyFont="1" applyFill="1" applyAlignment="1">
      <alignment vertical="center"/>
    </xf>
    <xf numFmtId="0" fontId="12" fillId="0" borderId="0" xfId="0" applyFont="1" applyAlignment="1">
      <alignment horizontal="justify" vertical="center"/>
    </xf>
    <xf numFmtId="0" fontId="14" fillId="0" borderId="0" xfId="0" applyFont="1" applyAlignment="1">
      <alignment horizontal="justify" vertical="center"/>
    </xf>
    <xf numFmtId="0" fontId="29" fillId="0" borderId="0" xfId="0" applyFont="1" applyAlignment="1">
      <alignment horizontal="center" vertical="center" wrapText="1"/>
    </xf>
    <xf numFmtId="0" fontId="14" fillId="0" borderId="0" xfId="0" applyFont="1" applyAlignment="1">
      <alignment horizontal="justify" vertical="center" wrapText="1"/>
    </xf>
    <xf numFmtId="0" fontId="30" fillId="0" borderId="0" xfId="0" applyFont="1"/>
    <xf numFmtId="6" fontId="15" fillId="0" borderId="0" xfId="0" applyNumberFormat="1" applyFont="1" applyAlignment="1">
      <alignment horizontal="justify" vertical="center" wrapText="1"/>
    </xf>
    <xf numFmtId="0" fontId="15" fillId="0" borderId="0" xfId="0" applyFont="1" applyAlignment="1">
      <alignment horizontal="justify" vertical="center" wrapText="1"/>
    </xf>
    <xf numFmtId="3" fontId="14" fillId="0" borderId="0" xfId="0" applyNumberFormat="1" applyFont="1" applyAlignment="1">
      <alignment horizontal="justify" vertical="center" wrapText="1"/>
    </xf>
    <xf numFmtId="0" fontId="31" fillId="0" borderId="0" xfId="0" applyFont="1" applyAlignment="1">
      <alignment vertical="center"/>
    </xf>
    <xf numFmtId="0" fontId="29" fillId="0" borderId="0" xfId="0" applyFont="1" applyAlignment="1">
      <alignment horizontal="justify" vertical="center" wrapText="1"/>
    </xf>
    <xf numFmtId="0" fontId="29" fillId="0" borderId="0" xfId="0" applyFont="1" applyAlignment="1">
      <alignment horizontal="left" vertical="center" wrapText="1" indent="7"/>
    </xf>
    <xf numFmtId="0" fontId="12" fillId="0" borderId="0" xfId="0" applyFont="1" applyAlignment="1">
      <alignment horizontal="justify" vertical="center" wrapText="1"/>
    </xf>
    <xf numFmtId="0" fontId="4" fillId="0" borderId="0" xfId="2" applyFont="1"/>
    <xf numFmtId="0" fontId="32" fillId="0" borderId="0" xfId="0" applyFont="1" applyAlignment="1">
      <alignment horizontal="justify" vertical="center" wrapText="1"/>
    </xf>
    <xf numFmtId="0" fontId="32" fillId="0" borderId="0" xfId="0" applyFont="1" applyAlignment="1">
      <alignment horizontal="justify" vertical="center"/>
    </xf>
    <xf numFmtId="6" fontId="15" fillId="4" borderId="0" xfId="0" applyNumberFormat="1" applyFont="1" applyFill="1" applyAlignment="1">
      <alignment horizontal="justify" vertical="center" wrapText="1"/>
    </xf>
    <xf numFmtId="0" fontId="15" fillId="4" borderId="0" xfId="0" applyFont="1" applyFill="1" applyAlignment="1">
      <alignment horizontal="justify" vertical="center" wrapText="1"/>
    </xf>
    <xf numFmtId="3" fontId="14" fillId="4" borderId="0" xfId="0" applyNumberFormat="1" applyFont="1" applyFill="1" applyAlignment="1">
      <alignment horizontal="justify" vertical="center" wrapText="1"/>
    </xf>
    <xf numFmtId="0" fontId="14" fillId="4" borderId="0" xfId="0" applyFont="1" applyFill="1" applyAlignment="1">
      <alignment horizontal="justify" vertical="center" wrapText="1"/>
    </xf>
    <xf numFmtId="0" fontId="13" fillId="6" borderId="0" xfId="0" applyFont="1" applyFill="1" applyAlignment="1">
      <alignment horizontal="left" vertical="center"/>
    </xf>
    <xf numFmtId="0" fontId="34" fillId="0" borderId="0" xfId="0" applyFont="1" applyAlignment="1">
      <alignment horizontal="center" vertical="center"/>
    </xf>
    <xf numFmtId="0" fontId="27" fillId="0" borderId="0" xfId="0" applyFont="1" applyAlignment="1">
      <alignment horizontal="center" vertical="center"/>
    </xf>
    <xf numFmtId="0" fontId="35" fillId="0" borderId="0" xfId="0" applyFont="1" applyAlignment="1">
      <alignment horizontal="center" vertical="center" wrapText="1"/>
    </xf>
    <xf numFmtId="0" fontId="17" fillId="0" borderId="0" xfId="0" applyFont="1" applyAlignment="1">
      <alignment horizontal="justify" vertical="center"/>
    </xf>
    <xf numFmtId="0" fontId="37" fillId="0" borderId="0" xfId="0" applyFont="1" applyAlignment="1">
      <alignment horizontal="justify" vertical="center"/>
    </xf>
    <xf numFmtId="0" fontId="38" fillId="0" borderId="0" xfId="0" applyFont="1" applyAlignment="1">
      <alignment horizontal="justify" vertical="center"/>
    </xf>
    <xf numFmtId="0" fontId="39" fillId="0" borderId="0" xfId="0" applyFont="1" applyAlignment="1">
      <alignment horizontal="justify" vertical="center"/>
    </xf>
    <xf numFmtId="0" fontId="0" fillId="0" borderId="0" xfId="0" applyAlignment="1">
      <alignment horizontal="center"/>
    </xf>
    <xf numFmtId="0" fontId="36" fillId="0" borderId="0" xfId="0" applyFont="1" applyAlignment="1">
      <alignment horizontal="left" vertical="center" wrapText="1"/>
    </xf>
    <xf numFmtId="0" fontId="38" fillId="0" borderId="0" xfId="0" applyFont="1" applyAlignment="1">
      <alignment horizontal="left" vertical="top"/>
    </xf>
    <xf numFmtId="0" fontId="29" fillId="0" borderId="0" xfId="0" applyFont="1" applyAlignment="1">
      <alignment horizontal="left" vertical="top" wrapText="1"/>
    </xf>
    <xf numFmtId="0" fontId="0" fillId="0" borderId="0" xfId="0" applyAlignment="1">
      <alignment horizontal="left" vertical="top"/>
    </xf>
    <xf numFmtId="4" fontId="0" fillId="0" borderId="0" xfId="0" applyNumberFormat="1" applyAlignment="1">
      <alignment horizontal="left" vertical="top"/>
    </xf>
    <xf numFmtId="0" fontId="39" fillId="0" borderId="0" xfId="0" applyFont="1" applyAlignment="1">
      <alignment horizontal="left" vertical="top"/>
    </xf>
    <xf numFmtId="0" fontId="14" fillId="0" borderId="0" xfId="0" applyFont="1" applyAlignment="1">
      <alignment horizontal="left" vertical="top" wrapText="1"/>
    </xf>
    <xf numFmtId="0" fontId="15" fillId="4" borderId="0" xfId="0" applyFont="1" applyFill="1" applyAlignment="1">
      <alignment horizontal="left" vertical="top" wrapText="1"/>
    </xf>
    <xf numFmtId="6" fontId="15" fillId="0" borderId="0" xfId="0" applyNumberFormat="1" applyFont="1" applyAlignment="1">
      <alignment horizontal="left" vertical="top" wrapText="1"/>
    </xf>
    <xf numFmtId="0" fontId="15" fillId="0" borderId="0" xfId="0" applyFont="1" applyAlignment="1">
      <alignment horizontal="left" vertical="top" wrapText="1"/>
    </xf>
    <xf numFmtId="0" fontId="14" fillId="4" borderId="0" xfId="0" applyFont="1" applyFill="1" applyAlignment="1">
      <alignment horizontal="left" vertical="top" wrapText="1"/>
    </xf>
    <xf numFmtId="0" fontId="30" fillId="0" borderId="0" xfId="0" applyFont="1" applyAlignment="1">
      <alignment horizontal="left" vertical="top"/>
    </xf>
    <xf numFmtId="3" fontId="14" fillId="0" borderId="0" xfId="0" applyNumberFormat="1" applyFont="1" applyAlignment="1">
      <alignment horizontal="left" vertical="top" wrapText="1"/>
    </xf>
    <xf numFmtId="3" fontId="14" fillId="0" borderId="0" xfId="0" applyNumberFormat="1" applyFont="1" applyAlignment="1">
      <alignment horizontal="left" vertical="top"/>
    </xf>
    <xf numFmtId="0" fontId="14" fillId="0" borderId="0" xfId="0" applyFont="1" applyAlignment="1">
      <alignment horizontal="left" vertical="top"/>
    </xf>
    <xf numFmtId="0" fontId="38" fillId="0" borderId="0" xfId="0" applyFont="1" applyAlignment="1">
      <alignment horizontal="center" vertical="top"/>
    </xf>
    <xf numFmtId="0" fontId="39" fillId="0" borderId="0" xfId="0" applyFont="1" applyAlignment="1">
      <alignment horizontal="center" vertical="top"/>
    </xf>
    <xf numFmtId="0" fontId="36" fillId="0" borderId="0" xfId="0" applyFont="1" applyAlignment="1">
      <alignment vertical="center" wrapText="1"/>
    </xf>
    <xf numFmtId="0" fontId="40" fillId="0" borderId="0" xfId="0" applyFont="1" applyAlignment="1">
      <alignment horizontal="justify" vertical="center"/>
    </xf>
    <xf numFmtId="0" fontId="17" fillId="0" borderId="0" xfId="0" applyFont="1" applyAlignment="1">
      <alignment horizontal="center" vertical="center"/>
    </xf>
    <xf numFmtId="0" fontId="41" fillId="0" borderId="0" xfId="0" applyFont="1" applyAlignment="1">
      <alignment horizontal="justify" vertical="center"/>
    </xf>
    <xf numFmtId="0" fontId="42" fillId="0" borderId="0" xfId="0" applyFont="1" applyAlignment="1">
      <alignment horizontal="justify" vertical="center"/>
    </xf>
    <xf numFmtId="0" fontId="38" fillId="0" borderId="0" xfId="0" applyFont="1" applyAlignment="1">
      <alignment horizontal="justify" vertical="top"/>
    </xf>
    <xf numFmtId="0" fontId="39" fillId="0" borderId="0" xfId="0" applyFont="1" applyAlignment="1">
      <alignment horizontal="justify" vertical="top"/>
    </xf>
    <xf numFmtId="0" fontId="43" fillId="0" borderId="0" xfId="0" applyFont="1" applyAlignment="1">
      <alignment horizontal="justify" vertical="top"/>
    </xf>
    <xf numFmtId="0" fontId="14" fillId="0" borderId="0" xfId="0" applyFont="1" applyAlignment="1">
      <alignment vertical="top"/>
    </xf>
    <xf numFmtId="0" fontId="39" fillId="0" borderId="0" xfId="0" applyFont="1" applyAlignment="1">
      <alignment horizontal="right" vertical="top"/>
    </xf>
    <xf numFmtId="0" fontId="14" fillId="0" borderId="0" xfId="0" applyFont="1" applyAlignment="1">
      <alignment horizontal="center" wrapText="1"/>
    </xf>
    <xf numFmtId="0" fontId="13" fillId="0" borderId="0" xfId="0" applyFont="1" applyAlignment="1">
      <alignment wrapText="1"/>
    </xf>
    <xf numFmtId="168" fontId="14" fillId="0" borderId="2" xfId="0" applyNumberFormat="1" applyFont="1" applyBorder="1" applyAlignment="1">
      <alignment vertical="center" wrapText="1"/>
    </xf>
    <xf numFmtId="38" fontId="14" fillId="0" borderId="3" xfId="0" applyNumberFormat="1" applyFont="1" applyBorder="1" applyAlignment="1">
      <alignment vertical="center" wrapText="1"/>
    </xf>
    <xf numFmtId="0" fontId="45" fillId="0" borderId="0" xfId="0" applyFont="1" applyAlignment="1">
      <alignment horizontal="center" vertical="center" wrapText="1"/>
    </xf>
    <xf numFmtId="41" fontId="14" fillId="0" borderId="0" xfId="5" applyNumberFormat="1" applyFont="1" applyAlignment="1">
      <alignment vertical="center" wrapText="1"/>
    </xf>
    <xf numFmtId="168" fontId="14" fillId="0" borderId="3" xfId="0" applyNumberFormat="1" applyFont="1" applyBorder="1" applyAlignment="1">
      <alignment vertical="center" wrapText="1"/>
    </xf>
    <xf numFmtId="0" fontId="20" fillId="0" borderId="0" xfId="0" applyFont="1" applyAlignment="1">
      <alignment horizontal="center" wrapText="1"/>
    </xf>
    <xf numFmtId="168" fontId="14" fillId="0" borderId="0" xfId="0" applyNumberFormat="1" applyFont="1" applyAlignment="1">
      <alignment horizontal="center" vertical="center" wrapText="1"/>
    </xf>
    <xf numFmtId="0" fontId="15" fillId="0" borderId="0" xfId="0" applyFont="1" applyAlignment="1">
      <alignment horizontal="center" vertical="center" wrapText="1"/>
    </xf>
    <xf numFmtId="3" fontId="14" fillId="0" borderId="0" xfId="0" applyNumberFormat="1" applyFont="1" applyAlignment="1">
      <alignment horizontal="center" vertical="center" wrapText="1"/>
    </xf>
    <xf numFmtId="3" fontId="15" fillId="0" borderId="0" xfId="0" applyNumberFormat="1" applyFont="1"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14" fillId="0" borderId="0" xfId="0" applyFont="1" applyAlignment="1">
      <alignment horizontal="center" vertical="center"/>
    </xf>
    <xf numFmtId="0" fontId="46" fillId="0" borderId="0" xfId="0" applyFont="1" applyAlignment="1">
      <alignment vertical="center"/>
    </xf>
    <xf numFmtId="0" fontId="49" fillId="0" borderId="0" xfId="0" applyFont="1" applyAlignment="1">
      <alignment horizontal="justify" vertical="center"/>
    </xf>
    <xf numFmtId="0" fontId="50" fillId="0" borderId="0" xfId="0" applyFont="1" applyAlignment="1">
      <alignment horizontal="justify" vertical="center"/>
    </xf>
    <xf numFmtId="0" fontId="18" fillId="0" borderId="0" xfId="0" applyFont="1" applyAlignment="1">
      <alignment horizontal="left" vertical="center" indent="15"/>
    </xf>
    <xf numFmtId="0" fontId="48" fillId="0" borderId="0" xfId="0" applyFont="1" applyAlignment="1">
      <alignment horizontal="justify" vertical="center"/>
    </xf>
    <xf numFmtId="0" fontId="46" fillId="0" borderId="0" xfId="0" applyFont="1" applyAlignment="1">
      <alignment horizontal="justify" vertical="center"/>
    </xf>
    <xf numFmtId="0" fontId="15" fillId="0" borderId="0" xfId="0" applyFont="1" applyAlignment="1">
      <alignment horizontal="justify" vertical="center"/>
    </xf>
    <xf numFmtId="0" fontId="15" fillId="0" borderId="0" xfId="0" applyFont="1" applyAlignment="1">
      <alignment horizontal="center" vertical="center"/>
    </xf>
    <xf numFmtId="0" fontId="48" fillId="0" borderId="0" xfId="0" applyFont="1" applyAlignment="1">
      <alignment vertical="center"/>
    </xf>
    <xf numFmtId="0" fontId="42" fillId="0" borderId="0" xfId="0" applyFont="1" applyAlignment="1">
      <alignment vertical="center"/>
    </xf>
    <xf numFmtId="0" fontId="42" fillId="0" borderId="0" xfId="0" applyFont="1" applyAlignment="1">
      <alignment horizontal="left" vertical="center" indent="6"/>
    </xf>
    <xf numFmtId="0" fontId="8" fillId="0" borderId="0" xfId="0" applyFont="1"/>
    <xf numFmtId="0" fontId="14" fillId="0" borderId="0" xfId="0" applyFont="1" applyAlignment="1">
      <alignment horizontal="left" vertical="center" wrapText="1"/>
    </xf>
    <xf numFmtId="41" fontId="14" fillId="0" borderId="2" xfId="5" applyNumberFormat="1" applyFont="1" applyBorder="1" applyAlignment="1">
      <alignment vertical="center" wrapText="1"/>
    </xf>
    <xf numFmtId="0" fontId="39" fillId="4" borderId="0" xfId="0" applyFont="1" applyFill="1" applyAlignment="1">
      <alignment horizontal="justify" vertical="center"/>
    </xf>
    <xf numFmtId="0" fontId="14" fillId="0" borderId="0" xfId="0" applyFont="1" applyAlignment="1">
      <alignment horizontal="left" wrapText="1"/>
    </xf>
    <xf numFmtId="0" fontId="14" fillId="4" borderId="0" xfId="0" applyFont="1" applyFill="1" applyAlignment="1">
      <alignment horizontal="justify" vertical="center"/>
    </xf>
    <xf numFmtId="0" fontId="51" fillId="0" borderId="0" xfId="0" applyFont="1"/>
    <xf numFmtId="9" fontId="14" fillId="0" borderId="0" xfId="0" applyNumberFormat="1" applyFont="1" applyAlignment="1">
      <alignment horizontal="center" wrapText="1"/>
    </xf>
    <xf numFmtId="9" fontId="14" fillId="0" borderId="0" xfId="0" applyNumberFormat="1" applyFont="1" applyAlignment="1">
      <alignment horizontal="center" vertical="center" wrapText="1"/>
    </xf>
    <xf numFmtId="0" fontId="56" fillId="0" borderId="0" xfId="7" applyFont="1"/>
    <xf numFmtId="0" fontId="52" fillId="0" borderId="0" xfId="6"/>
    <xf numFmtId="0" fontId="54" fillId="0" borderId="0" xfId="6" applyFont="1"/>
    <xf numFmtId="0" fontId="52" fillId="7" borderId="0" xfId="6" applyFill="1"/>
    <xf numFmtId="0" fontId="7" fillId="0" borderId="0" xfId="7" applyFont="1"/>
    <xf numFmtId="0" fontId="14" fillId="0" borderId="0" xfId="7" applyFont="1" applyAlignment="1">
      <alignment horizontal="justify" vertical="center" wrapText="1"/>
    </xf>
    <xf numFmtId="165" fontId="53" fillId="7" borderId="0" xfId="6" applyNumberFormat="1" applyFont="1" applyFill="1" applyAlignment="1">
      <alignment horizontal="right" vertical="top"/>
    </xf>
    <xf numFmtId="0" fontId="54" fillId="7" borderId="0" xfId="6" applyFont="1" applyFill="1"/>
    <xf numFmtId="165" fontId="24" fillId="7" borderId="0" xfId="6" applyNumberFormat="1" applyFont="1" applyFill="1" applyAlignment="1">
      <alignment horizontal="right" vertical="top"/>
    </xf>
    <xf numFmtId="49" fontId="53" fillId="7" borderId="0" xfId="6" applyNumberFormat="1" applyFont="1" applyFill="1" applyAlignment="1">
      <alignment vertical="top" wrapText="1"/>
    </xf>
    <xf numFmtId="165" fontId="53" fillId="7" borderId="0" xfId="6" applyNumberFormat="1" applyFont="1" applyFill="1" applyAlignment="1">
      <alignment vertical="top"/>
    </xf>
    <xf numFmtId="49" fontId="24" fillId="7" borderId="0" xfId="6" applyNumberFormat="1" applyFont="1" applyFill="1" applyAlignment="1">
      <alignment vertical="top" wrapText="1"/>
    </xf>
    <xf numFmtId="165" fontId="24" fillId="7" borderId="0" xfId="6" applyNumberFormat="1" applyFont="1" applyFill="1" applyAlignment="1">
      <alignment vertical="top"/>
    </xf>
    <xf numFmtId="49" fontId="6" fillId="0" borderId="0" xfId="0" applyNumberFormat="1" applyFont="1" applyAlignment="1">
      <alignment vertical="top"/>
    </xf>
    <xf numFmtId="0" fontId="56" fillId="0" borderId="0" xfId="0" applyFont="1"/>
    <xf numFmtId="14" fontId="6" fillId="0" borderId="0" xfId="11" applyNumberFormat="1" applyFont="1" applyAlignment="1">
      <alignment horizontal="center" vertical="center" wrapText="1"/>
    </xf>
    <xf numFmtId="49" fontId="9" fillId="0" borderId="0" xfId="0" applyNumberFormat="1" applyFont="1" applyAlignment="1">
      <alignment vertical="top"/>
    </xf>
    <xf numFmtId="0" fontId="57" fillId="0" borderId="0" xfId="0" applyFont="1"/>
    <xf numFmtId="0" fontId="8" fillId="0" borderId="0" xfId="0" applyFont="1" applyAlignment="1">
      <alignment horizontal="left" vertical="top"/>
    </xf>
    <xf numFmtId="10" fontId="14" fillId="0" borderId="0" xfId="12" applyNumberFormat="1" applyFont="1" applyAlignment="1">
      <alignment horizontal="center" vertical="center" wrapText="1"/>
    </xf>
    <xf numFmtId="0" fontId="60" fillId="0" borderId="0" xfId="0" applyFont="1"/>
    <xf numFmtId="3" fontId="0" fillId="0" borderId="0" xfId="0" applyNumberFormat="1"/>
    <xf numFmtId="164" fontId="0" fillId="0" borderId="0" xfId="1" applyNumberFormat="1" applyFont="1"/>
    <xf numFmtId="0" fontId="29" fillId="0" borderId="0" xfId="0" applyFont="1" applyAlignment="1">
      <alignment vertical="center" wrapText="1"/>
    </xf>
    <xf numFmtId="0" fontId="29" fillId="0" borderId="0" xfId="0" applyFont="1" applyAlignment="1">
      <alignment wrapText="1"/>
    </xf>
    <xf numFmtId="3" fontId="14" fillId="0" borderId="2" xfId="0" applyNumberFormat="1" applyFont="1" applyBorder="1" applyAlignment="1">
      <alignment vertical="center" wrapText="1"/>
    </xf>
    <xf numFmtId="0" fontId="61" fillId="8" borderId="0" xfId="0" applyFont="1" applyFill="1" applyAlignment="1">
      <alignment horizontal="center" vertical="center"/>
    </xf>
    <xf numFmtId="0" fontId="61" fillId="8" borderId="0" xfId="0" applyFont="1" applyFill="1" applyAlignment="1">
      <alignment horizontal="center" vertical="center" wrapText="1"/>
    </xf>
    <xf numFmtId="0" fontId="62" fillId="3" borderId="0" xfId="0" applyFont="1" applyFill="1" applyAlignment="1">
      <alignment horizontal="center" vertical="center" wrapText="1"/>
    </xf>
    <xf numFmtId="0" fontId="57" fillId="3" borderId="0" xfId="0" applyFont="1" applyFill="1" applyAlignment="1">
      <alignment vertical="center"/>
    </xf>
    <xf numFmtId="0" fontId="54" fillId="9" borderId="0" xfId="0" applyFont="1" applyFill="1" applyAlignment="1">
      <alignment horizontal="center" vertical="center" wrapText="1"/>
    </xf>
    <xf numFmtId="0" fontId="63" fillId="9" borderId="0" xfId="0" applyFont="1" applyFill="1" applyAlignment="1">
      <alignment horizontal="center" vertical="center" wrapText="1"/>
    </xf>
    <xf numFmtId="164" fontId="66" fillId="0" borderId="0" xfId="0" applyNumberFormat="1" applyFont="1"/>
    <xf numFmtId="0" fontId="67" fillId="0" borderId="0" xfId="0" applyFont="1" applyAlignment="1">
      <alignment horizontal="center" vertical="center"/>
    </xf>
    <xf numFmtId="0" fontId="68" fillId="0" borderId="0" xfId="0" applyFont="1" applyAlignment="1">
      <alignment wrapText="1"/>
    </xf>
    <xf numFmtId="41" fontId="0" fillId="0" borderId="0" xfId="0" applyNumberFormat="1"/>
    <xf numFmtId="169" fontId="0" fillId="4" borderId="0" xfId="13" applyNumberFormat="1" applyFont="1" applyFill="1" applyAlignment="1">
      <alignment horizontal="right" vertical="center"/>
    </xf>
    <xf numFmtId="169" fontId="0" fillId="4" borderId="0" xfId="13" applyNumberFormat="1" applyFont="1" applyFill="1"/>
    <xf numFmtId="169" fontId="0" fillId="0" borderId="3" xfId="13" applyNumberFormat="1" applyFont="1" applyBorder="1" applyAlignment="1">
      <alignment horizontal="right" vertical="center"/>
    </xf>
    <xf numFmtId="169" fontId="0" fillId="0" borderId="0" xfId="13" applyNumberFormat="1" applyFont="1"/>
    <xf numFmtId="169" fontId="0" fillId="4" borderId="4" xfId="13" applyNumberFormat="1" applyFont="1" applyFill="1" applyBorder="1" applyAlignment="1">
      <alignment horizontal="right" vertical="center"/>
    </xf>
    <xf numFmtId="169" fontId="8" fillId="4" borderId="4" xfId="13" applyNumberFormat="1" applyFont="1" applyFill="1" applyBorder="1"/>
    <xf numFmtId="169" fontId="0" fillId="4" borderId="4" xfId="13" applyNumberFormat="1" applyFont="1" applyFill="1" applyBorder="1"/>
    <xf numFmtId="169" fontId="0" fillId="4" borderId="0" xfId="13" applyNumberFormat="1" applyFont="1" applyFill="1" applyAlignment="1">
      <alignment horizontal="center" vertical="center"/>
    </xf>
    <xf numFmtId="169" fontId="0" fillId="0" borderId="0" xfId="13" applyNumberFormat="1" applyFont="1" applyAlignment="1">
      <alignment horizontal="right" vertical="center"/>
    </xf>
    <xf numFmtId="169" fontId="0" fillId="0" borderId="0" xfId="13" applyNumberFormat="1" applyFont="1" applyAlignment="1">
      <alignment horizontal="center" vertical="center"/>
    </xf>
    <xf numFmtId="43" fontId="0" fillId="0" borderId="0" xfId="0" applyNumberFormat="1"/>
    <xf numFmtId="164" fontId="6" fillId="10" borderId="0" xfId="1" applyNumberFormat="1" applyFont="1" applyFill="1" applyAlignment="1">
      <alignment vertical="top"/>
    </xf>
    <xf numFmtId="164" fontId="69" fillId="0" borderId="0" xfId="1" applyNumberFormat="1" applyFont="1"/>
    <xf numFmtId="164" fontId="6" fillId="0" borderId="0" xfId="1" applyNumberFormat="1" applyFont="1" applyAlignment="1">
      <alignment vertical="top" wrapText="1"/>
    </xf>
    <xf numFmtId="164" fontId="5" fillId="0" borderId="0" xfId="1" applyNumberFormat="1" applyFont="1"/>
    <xf numFmtId="164" fontId="70" fillId="0" borderId="0" xfId="1" applyNumberFormat="1" applyFont="1"/>
    <xf numFmtId="43" fontId="14" fillId="0" borderId="0" xfId="1" applyFont="1" applyAlignment="1">
      <alignment horizontal="left" vertical="center" wrapText="1"/>
    </xf>
    <xf numFmtId="164" fontId="0" fillId="4" borderId="0" xfId="1" applyNumberFormat="1" applyFont="1" applyFill="1" applyAlignment="1">
      <alignment horizontal="right" vertical="center"/>
    </xf>
    <xf numFmtId="164" fontId="8" fillId="4" borderId="4" xfId="1" applyNumberFormat="1" applyFont="1" applyFill="1" applyBorder="1" applyAlignment="1">
      <alignment horizontal="left" vertical="center"/>
    </xf>
    <xf numFmtId="164" fontId="0" fillId="0" borderId="0" xfId="1" applyNumberFormat="1" applyFont="1" applyAlignment="1">
      <alignment horizontal="right" vertical="center"/>
    </xf>
    <xf numFmtId="164" fontId="14" fillId="0" borderId="0" xfId="1" applyNumberFormat="1" applyFont="1" applyAlignment="1">
      <alignment vertical="center" wrapText="1"/>
    </xf>
    <xf numFmtId="164" fontId="14" fillId="0" borderId="2" xfId="1" applyNumberFormat="1" applyFont="1" applyBorder="1" applyAlignment="1">
      <alignment vertical="center" wrapText="1"/>
    </xf>
    <xf numFmtId="49" fontId="6" fillId="0" borderId="0" xfId="0" applyNumberFormat="1" applyFont="1" applyAlignment="1">
      <alignment horizontal="center" vertical="center"/>
    </xf>
    <xf numFmtId="164" fontId="6" fillId="0" borderId="0" xfId="1" applyNumberFormat="1" applyFont="1" applyAlignment="1">
      <alignment horizontal="center" vertical="center"/>
    </xf>
    <xf numFmtId="49" fontId="6" fillId="2" borderId="0" xfId="0" applyNumberFormat="1" applyFont="1" applyFill="1" applyAlignment="1">
      <alignment vertical="top"/>
    </xf>
    <xf numFmtId="49" fontId="9" fillId="3" borderId="0" xfId="0" applyNumberFormat="1" applyFont="1" applyFill="1" applyAlignment="1">
      <alignment vertical="top"/>
    </xf>
    <xf numFmtId="49" fontId="25" fillId="0" borderId="0" xfId="0" applyNumberFormat="1" applyFont="1" applyAlignment="1">
      <alignment vertical="top"/>
    </xf>
    <xf numFmtId="0" fontId="3" fillId="0" borderId="0" xfId="2" applyFont="1"/>
    <xf numFmtId="164" fontId="6" fillId="4" borderId="0" xfId="1" applyNumberFormat="1" applyFont="1" applyFill="1" applyAlignment="1">
      <alignment horizontal="center" vertical="center"/>
    </xf>
    <xf numFmtId="164" fontId="6" fillId="4" borderId="0" xfId="1" applyNumberFormat="1" applyFont="1" applyFill="1" applyAlignment="1">
      <alignment vertical="top"/>
    </xf>
    <xf numFmtId="164" fontId="9" fillId="4" borderId="0" xfId="1" applyNumberFormat="1" applyFont="1" applyFill="1" applyAlignment="1">
      <alignment vertical="top"/>
    </xf>
    <xf numFmtId="0" fontId="5" fillId="4" borderId="0" xfId="2" applyFill="1"/>
    <xf numFmtId="49" fontId="6" fillId="4" borderId="0" xfId="0" applyNumberFormat="1" applyFont="1" applyFill="1" applyAlignment="1">
      <alignment horizontal="center" vertical="center"/>
    </xf>
    <xf numFmtId="164" fontId="14" fillId="0" borderId="0" xfId="1" applyNumberFormat="1" applyFont="1"/>
    <xf numFmtId="164" fontId="22" fillId="0" borderId="1" xfId="1" applyNumberFormat="1" applyFont="1" applyBorder="1" applyAlignment="1">
      <alignment horizontal="center"/>
    </xf>
    <xf numFmtId="43" fontId="1" fillId="4" borderId="3" xfId="1" applyFont="1" applyFill="1" applyBorder="1" applyAlignment="1"/>
    <xf numFmtId="0" fontId="70" fillId="0" borderId="0" xfId="0" applyFont="1"/>
    <xf numFmtId="164" fontId="5" fillId="0" borderId="0" xfId="1" applyNumberFormat="1" applyFont="1" applyAlignment="1"/>
    <xf numFmtId="164" fontId="14" fillId="0" borderId="0" xfId="1" applyNumberFormat="1" applyFont="1" applyAlignment="1">
      <alignment vertical="center"/>
    </xf>
    <xf numFmtId="164" fontId="14" fillId="0" borderId="3" xfId="1" applyNumberFormat="1" applyFont="1" applyBorder="1" applyAlignment="1">
      <alignment vertical="center" wrapText="1"/>
    </xf>
    <xf numFmtId="164" fontId="12" fillId="0" borderId="0" xfId="1" applyNumberFormat="1" applyFont="1" applyAlignment="1">
      <alignment vertical="center"/>
    </xf>
    <xf numFmtId="164" fontId="14" fillId="0" borderId="2" xfId="1" applyNumberFormat="1" applyFont="1" applyBorder="1" applyAlignment="1">
      <alignment vertical="center"/>
    </xf>
    <xf numFmtId="4" fontId="70" fillId="0" borderId="0" xfId="0" applyNumberFormat="1" applyFont="1"/>
    <xf numFmtId="43" fontId="70" fillId="0" borderId="0" xfId="1" applyFont="1"/>
    <xf numFmtId="49" fontId="24" fillId="0" borderId="0" xfId="0" applyNumberFormat="1" applyFont="1" applyAlignment="1">
      <alignment vertical="top" wrapText="1"/>
    </xf>
    <xf numFmtId="49" fontId="24" fillId="0" borderId="0" xfId="0" applyNumberFormat="1" applyFont="1" applyAlignment="1">
      <alignment horizontal="right" vertical="top" wrapText="1"/>
    </xf>
    <xf numFmtId="165" fontId="25" fillId="0" borderId="0" xfId="0" applyNumberFormat="1" applyFont="1" applyAlignment="1">
      <alignment horizontal="right" vertical="top"/>
    </xf>
    <xf numFmtId="165" fontId="25" fillId="0" borderId="0" xfId="0" applyNumberFormat="1" applyFont="1" applyAlignment="1">
      <alignment vertical="top"/>
    </xf>
    <xf numFmtId="164" fontId="25" fillId="0" borderId="0" xfId="1" applyNumberFormat="1" applyFont="1" applyAlignment="1">
      <alignment vertical="top"/>
    </xf>
    <xf numFmtId="164" fontId="24" fillId="0" borderId="0" xfId="1" applyNumberFormat="1" applyFont="1" applyAlignment="1">
      <alignment vertical="top" wrapText="1"/>
    </xf>
    <xf numFmtId="164" fontId="24" fillId="0" borderId="0" xfId="1" applyNumberFormat="1" applyFont="1" applyAlignment="1">
      <alignment horizontal="right" vertical="top" wrapText="1"/>
    </xf>
    <xf numFmtId="164" fontId="51" fillId="0" borderId="0" xfId="1" applyNumberFormat="1" applyFont="1"/>
    <xf numFmtId="0" fontId="13" fillId="0" borderId="0" xfId="1" applyNumberFormat="1" applyFont="1" applyAlignment="1">
      <alignment horizontal="center" vertical="center" wrapText="1"/>
    </xf>
    <xf numFmtId="0" fontId="22" fillId="0" borderId="1" xfId="1" applyNumberFormat="1" applyFont="1" applyBorder="1" applyAlignment="1">
      <alignment horizontal="center"/>
    </xf>
    <xf numFmtId="164" fontId="71" fillId="0" borderId="0" xfId="1" applyNumberFormat="1" applyFont="1"/>
    <xf numFmtId="0" fontId="71" fillId="0" borderId="0" xfId="0" applyFont="1"/>
    <xf numFmtId="168" fontId="71" fillId="0" borderId="0" xfId="0" applyNumberFormat="1" applyFont="1" applyAlignment="1">
      <alignment vertical="center" wrapText="1"/>
    </xf>
    <xf numFmtId="168" fontId="71" fillId="0" borderId="0" xfId="0" applyNumberFormat="1" applyFont="1" applyAlignment="1">
      <alignment horizontal="center" vertical="center" wrapText="1"/>
    </xf>
    <xf numFmtId="164" fontId="14" fillId="0" borderId="0" xfId="1" applyNumberFormat="1" applyFont="1" applyAlignment="1">
      <alignment horizontal="right" vertical="center" wrapText="1"/>
    </xf>
    <xf numFmtId="164" fontId="71" fillId="0" borderId="0" xfId="1" applyNumberFormat="1" applyFont="1" applyAlignment="1">
      <alignment vertical="center" wrapText="1"/>
    </xf>
    <xf numFmtId="164" fontId="62" fillId="3" borderId="0" xfId="1" applyNumberFormat="1" applyFont="1" applyFill="1" applyAlignment="1">
      <alignment horizontal="center" vertical="center" wrapText="1"/>
    </xf>
    <xf numFmtId="164" fontId="65" fillId="0" borderId="0" xfId="1" applyNumberFormat="1" applyFont="1"/>
    <xf numFmtId="0" fontId="72" fillId="0" borderId="0" xfId="0" applyFont="1" applyAlignment="1">
      <alignment wrapText="1"/>
    </xf>
    <xf numFmtId="170" fontId="70" fillId="0" borderId="0" xfId="1" applyNumberFormat="1" applyFont="1"/>
    <xf numFmtId="168" fontId="14" fillId="0" borderId="0" xfId="0" applyNumberFormat="1" applyFont="1" applyAlignment="1">
      <alignment horizontal="right" vertical="center" wrapText="1"/>
    </xf>
    <xf numFmtId="164" fontId="14" fillId="0" borderId="2" xfId="1" applyNumberFormat="1" applyFont="1" applyBorder="1" applyAlignment="1">
      <alignment horizontal="right" vertical="center" wrapText="1"/>
    </xf>
    <xf numFmtId="164" fontId="14" fillId="0" borderId="0" xfId="1" applyNumberFormat="1" applyFont="1" applyBorder="1" applyAlignment="1">
      <alignment horizontal="right" vertical="center" wrapText="1"/>
    </xf>
    <xf numFmtId="168" fontId="14" fillId="0" borderId="2" xfId="0" applyNumberFormat="1" applyFont="1" applyBorder="1" applyAlignment="1">
      <alignment horizontal="right" vertical="center" wrapText="1"/>
    </xf>
    <xf numFmtId="164" fontId="14" fillId="0" borderId="3" xfId="1" applyNumberFormat="1" applyFont="1" applyBorder="1" applyAlignment="1">
      <alignment horizontal="right" vertical="center" wrapText="1"/>
    </xf>
    <xf numFmtId="0" fontId="14" fillId="0" borderId="0" xfId="0" applyFont="1" applyAlignment="1">
      <alignment horizontal="center"/>
    </xf>
    <xf numFmtId="0" fontId="12" fillId="0" borderId="0" xfId="0" applyFont="1" applyAlignment="1">
      <alignment horizontal="left" vertical="center"/>
    </xf>
    <xf numFmtId="0" fontId="12" fillId="6" borderId="0" xfId="0" applyFont="1" applyFill="1" applyAlignment="1">
      <alignment horizontal="center" vertical="center"/>
    </xf>
    <xf numFmtId="0" fontId="12" fillId="0" borderId="0" xfId="0" applyFont="1" applyAlignment="1">
      <alignment horizontal="center" vertical="center" wrapText="1"/>
    </xf>
    <xf numFmtId="0" fontId="12" fillId="6" borderId="0" xfId="1" applyNumberFormat="1" applyFont="1" applyFill="1" applyAlignment="1">
      <alignment horizontal="center" vertical="center"/>
    </xf>
    <xf numFmtId="164" fontId="14" fillId="0" borderId="0" xfId="1" applyNumberFormat="1" applyFont="1" applyAlignment="1"/>
    <xf numFmtId="164" fontId="14" fillId="0" borderId="0" xfId="0" applyNumberFormat="1" applyFont="1"/>
    <xf numFmtId="164" fontId="12" fillId="0" borderId="0" xfId="1" applyNumberFormat="1" applyFont="1" applyAlignment="1">
      <alignment horizontal="left" vertical="center"/>
    </xf>
    <xf numFmtId="0" fontId="14" fillId="0" borderId="0" xfId="0" applyFont="1" applyAlignment="1">
      <alignment horizontal="left" vertical="center" indent="6"/>
    </xf>
    <xf numFmtId="164" fontId="14" fillId="0" borderId="0" xfId="1" applyNumberFormat="1" applyFont="1" applyAlignment="1">
      <alignment horizontal="left" vertical="center" indent="6"/>
    </xf>
    <xf numFmtId="164" fontId="12" fillId="0" borderId="0" xfId="1" applyNumberFormat="1" applyFont="1" applyAlignment="1">
      <alignment horizontal="center" vertical="center" wrapText="1"/>
    </xf>
    <xf numFmtId="3" fontId="15" fillId="0" borderId="0" xfId="0" applyNumberFormat="1" applyFont="1" applyAlignment="1">
      <alignment horizontal="right" vertical="center" wrapText="1"/>
    </xf>
    <xf numFmtId="3" fontId="14" fillId="0" borderId="0" xfId="0" applyNumberFormat="1" applyFont="1" applyAlignment="1">
      <alignment horizontal="right" vertical="center" wrapText="1"/>
    </xf>
    <xf numFmtId="4" fontId="14" fillId="0" borderId="0" xfId="0" applyNumberFormat="1" applyFont="1"/>
    <xf numFmtId="164" fontId="73" fillId="0" borderId="0" xfId="1" applyNumberFormat="1" applyFont="1"/>
    <xf numFmtId="43" fontId="71" fillId="0" borderId="0" xfId="1" applyFont="1"/>
    <xf numFmtId="170" fontId="71" fillId="0" borderId="0" xfId="1" applyNumberFormat="1" applyFont="1"/>
    <xf numFmtId="3" fontId="14" fillId="0" borderId="0" xfId="0" applyNumberFormat="1" applyFont="1"/>
    <xf numFmtId="168" fontId="14" fillId="0" borderId="0" xfId="0" applyNumberFormat="1" applyFont="1"/>
    <xf numFmtId="6" fontId="14" fillId="0" borderId="0" xfId="0" applyNumberFormat="1" applyFont="1"/>
    <xf numFmtId="0" fontId="14" fillId="0" borderId="0" xfId="1" applyNumberFormat="1" applyFont="1"/>
    <xf numFmtId="164" fontId="71" fillId="0" borderId="0" xfId="0" applyNumberFormat="1" applyFont="1"/>
    <xf numFmtId="168" fontId="71" fillId="0" borderId="0" xfId="0" applyNumberFormat="1" applyFont="1"/>
    <xf numFmtId="0" fontId="14" fillId="0" borderId="0" xfId="0" applyFont="1" applyAlignment="1">
      <alignment horizontal="left" vertical="center"/>
    </xf>
    <xf numFmtId="164" fontId="14" fillId="0" borderId="0" xfId="1" applyNumberFormat="1" applyFont="1" applyAlignment="1">
      <alignment horizontal="right"/>
    </xf>
    <xf numFmtId="0" fontId="12" fillId="0" borderId="0" xfId="0" applyFont="1"/>
    <xf numFmtId="41" fontId="70" fillId="0" borderId="0" xfId="0" applyNumberFormat="1" applyFont="1"/>
    <xf numFmtId="164" fontId="14" fillId="0" borderId="0" xfId="1" applyNumberFormat="1" applyFont="1" applyAlignment="1">
      <alignment horizontal="right" wrapText="1"/>
    </xf>
    <xf numFmtId="41" fontId="14" fillId="0" borderId="0" xfId="5" applyNumberFormat="1" applyFont="1" applyAlignment="1">
      <alignment horizontal="right" vertical="center" wrapText="1"/>
    </xf>
    <xf numFmtId="0" fontId="14" fillId="0" borderId="0" xfId="0" applyFont="1" applyAlignment="1">
      <alignment horizontal="right" wrapText="1"/>
    </xf>
    <xf numFmtId="43" fontId="14" fillId="0" borderId="2" xfId="1" applyFont="1" applyBorder="1" applyAlignment="1">
      <alignment horizontal="right" vertical="center" wrapText="1"/>
    </xf>
    <xf numFmtId="168" fontId="14" fillId="0" borderId="3" xfId="0" applyNumberFormat="1" applyFont="1" applyBorder="1" applyAlignment="1">
      <alignment horizontal="right" vertical="center" wrapText="1"/>
    </xf>
    <xf numFmtId="3" fontId="14" fillId="0" borderId="0" xfId="0" applyNumberFormat="1" applyFont="1" applyAlignment="1">
      <alignment horizontal="right"/>
    </xf>
    <xf numFmtId="0" fontId="14" fillId="0" borderId="0" xfId="0" applyFont="1" applyAlignment="1">
      <alignment horizontal="right"/>
    </xf>
    <xf numFmtId="164" fontId="14" fillId="0" borderId="2" xfId="1" applyNumberFormat="1" applyFont="1" applyBorder="1" applyAlignment="1">
      <alignment horizontal="right"/>
    </xf>
    <xf numFmtId="164" fontId="14" fillId="0" borderId="0" xfId="0" applyNumberFormat="1" applyFont="1" applyAlignment="1">
      <alignment horizontal="right"/>
    </xf>
    <xf numFmtId="43" fontId="14" fillId="0" borderId="0" xfId="1" applyFont="1" applyAlignment="1">
      <alignment horizontal="right" vertical="center" wrapText="1"/>
    </xf>
    <xf numFmtId="0" fontId="32" fillId="0" borderId="0" xfId="0" applyFont="1"/>
    <xf numFmtId="164" fontId="32" fillId="0" borderId="0" xfId="1" applyNumberFormat="1" applyFont="1"/>
    <xf numFmtId="164" fontId="13" fillId="0" borderId="0" xfId="1" applyNumberFormat="1" applyFont="1" applyFill="1" applyAlignment="1">
      <alignment horizontal="center" vertical="center" wrapText="1"/>
    </xf>
    <xf numFmtId="164" fontId="13" fillId="0" borderId="0" xfId="1" applyNumberFormat="1" applyFont="1" applyAlignment="1">
      <alignment horizontal="center" vertical="center" wrapText="1"/>
    </xf>
    <xf numFmtId="164" fontId="32" fillId="0" borderId="0" xfId="1" applyNumberFormat="1" applyFont="1" applyFill="1"/>
    <xf numFmtId="164" fontId="32" fillId="5" borderId="0" xfId="1" applyNumberFormat="1" applyFont="1" applyFill="1"/>
    <xf numFmtId="0" fontId="32" fillId="5" borderId="0" xfId="0" applyFont="1" applyFill="1"/>
    <xf numFmtId="164" fontId="32" fillId="0" borderId="0" xfId="0" applyNumberFormat="1" applyFont="1"/>
    <xf numFmtId="164" fontId="74" fillId="0" borderId="0" xfId="1" applyNumberFormat="1" applyFont="1"/>
    <xf numFmtId="164" fontId="14" fillId="0" borderId="0" xfId="1" applyNumberFormat="1" applyFont="1" applyBorder="1"/>
    <xf numFmtId="164" fontId="14" fillId="0" borderId="0" xfId="1" applyNumberFormat="1" applyFont="1" applyBorder="1" applyAlignment="1">
      <alignment horizontal="right"/>
    </xf>
    <xf numFmtId="0" fontId="29" fillId="0" borderId="0" xfId="0" applyFont="1" applyAlignment="1">
      <alignment horizontal="center"/>
    </xf>
    <xf numFmtId="0" fontId="29" fillId="0" borderId="0" xfId="1" applyNumberFormat="1" applyFont="1" applyAlignment="1">
      <alignment horizontal="center"/>
    </xf>
    <xf numFmtId="0" fontId="7" fillId="0" borderId="0" xfId="0" applyFont="1"/>
    <xf numFmtId="0" fontId="10" fillId="0" borderId="0" xfId="0" applyFont="1"/>
    <xf numFmtId="49" fontId="9" fillId="0" borderId="0" xfId="0" applyNumberFormat="1" applyFont="1" applyAlignment="1">
      <alignment vertical="top" wrapText="1"/>
    </xf>
    <xf numFmtId="49" fontId="6" fillId="4" borderId="0" xfId="0" applyNumberFormat="1" applyFont="1" applyFill="1" applyAlignment="1">
      <alignment vertical="top" wrapText="1"/>
    </xf>
    <xf numFmtId="0" fontId="7" fillId="4" borderId="0" xfId="0" applyFont="1" applyFill="1"/>
    <xf numFmtId="165" fontId="9" fillId="0" borderId="0" xfId="0" applyNumberFormat="1" applyFont="1" applyAlignment="1">
      <alignment vertical="top"/>
    </xf>
    <xf numFmtId="49" fontId="9" fillId="4" borderId="0" xfId="0" applyNumberFormat="1" applyFont="1" applyFill="1" applyAlignment="1">
      <alignment vertical="top" wrapText="1"/>
    </xf>
    <xf numFmtId="0" fontId="11" fillId="0" borderId="0" xfId="0" applyFont="1"/>
    <xf numFmtId="3" fontId="15" fillId="0" borderId="0" xfId="0" applyNumberFormat="1" applyFont="1" applyAlignment="1">
      <alignment vertical="center"/>
    </xf>
    <xf numFmtId="0" fontId="36" fillId="0" borderId="0" xfId="0" applyFont="1" applyAlignment="1">
      <alignment horizontal="left" vertical="center" wrapText="1"/>
    </xf>
    <xf numFmtId="0" fontId="57" fillId="3" borderId="0" xfId="0" applyFont="1" applyFill="1" applyAlignment="1">
      <alignment horizontal="center"/>
    </xf>
    <xf numFmtId="0" fontId="54" fillId="9" borderId="0" xfId="0" applyFont="1" applyFill="1" applyAlignment="1">
      <alignment horizontal="center" vertical="center" wrapText="1"/>
    </xf>
    <xf numFmtId="0" fontId="8" fillId="0" borderId="0" xfId="0" applyFont="1" applyAlignment="1">
      <alignment horizontal="center" vertical="center" wrapText="1"/>
    </xf>
    <xf numFmtId="0" fontId="14" fillId="0" borderId="0" xfId="0" applyFont="1"/>
    <xf numFmtId="164" fontId="12" fillId="0" borderId="0" xfId="1" applyNumberFormat="1" applyFont="1" applyAlignment="1">
      <alignment horizontal="center" vertical="center" wrapText="1"/>
    </xf>
    <xf numFmtId="0" fontId="12" fillId="0" borderId="0" xfId="0" applyFont="1" applyAlignment="1">
      <alignment horizontal="center" vertical="center" wrapText="1"/>
    </xf>
  </cellXfs>
  <cellStyles count="14">
    <cellStyle name="Millares" xfId="1" builtinId="3"/>
    <cellStyle name="Millares 2" xfId="3" xr:uid="{D132E202-135D-47AF-9DF7-9DAA88DC899A}"/>
    <cellStyle name="Millares 2 2" xfId="9" xr:uid="{7C2EA57F-4DB0-4245-8A86-943B34369E1A}"/>
    <cellStyle name="Millares 3" xfId="11" xr:uid="{85085A47-2BE3-47AF-84C0-216542B885E2}"/>
    <cellStyle name="Millares 3 2" xfId="13" xr:uid="{6E070EC2-DD90-44BE-8F46-7A40F619CCEE}"/>
    <cellStyle name="Moneda" xfId="5" builtinId="4"/>
    <cellStyle name="Normal" xfId="0" builtinId="0"/>
    <cellStyle name="Normal 2" xfId="2" xr:uid="{2DB8D333-EEFA-435E-A549-979FF3EC1FC6}"/>
    <cellStyle name="Normal 2 2" xfId="8" xr:uid="{5B1A859B-226A-42EF-99D9-18E519124D2A}"/>
    <cellStyle name="Normal 2 3" xfId="10" xr:uid="{262F8D3F-2339-430C-92B8-203AD4802ECB}"/>
    <cellStyle name="Normal 3" xfId="7" xr:uid="{E169609A-320C-47AB-959F-83F767D28B16}"/>
    <cellStyle name="Normal 4" xfId="6" xr:uid="{2313821C-CB08-4973-8B96-2A07D92B3536}"/>
    <cellStyle name="Porcentaje" xfId="12" builtinId="5"/>
    <cellStyle name="Título 3" xfId="4" builtinId="18"/>
  </cellStyles>
  <dxfs count="12">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F4AE-D9CF-4179-9BAB-4023C607FB5C}">
  <sheetPr codeName="Hoja4">
    <tabColor theme="4" tint="0.79998168889431442"/>
  </sheetPr>
  <dimension ref="B1:H39"/>
  <sheetViews>
    <sheetView showGridLines="0" topLeftCell="C1" zoomScaleNormal="100" workbookViewId="0">
      <selection activeCell="C16" sqref="C16"/>
    </sheetView>
  </sheetViews>
  <sheetFormatPr baseColWidth="10" defaultRowHeight="13.5" outlineLevelRow="1"/>
  <cols>
    <col min="2" max="2" width="29.7109375" customWidth="1"/>
    <col min="3" max="3" width="61.85546875" customWidth="1"/>
    <col min="4" max="13" width="14.85546875" customWidth="1"/>
  </cols>
  <sheetData>
    <row r="1" spans="2:8">
      <c r="G1" s="21"/>
    </row>
    <row r="2" spans="2:8" ht="18.75">
      <c r="B2" s="46" t="s">
        <v>335</v>
      </c>
      <c r="G2" s="21"/>
    </row>
    <row r="3" spans="2:8" ht="15" outlineLevel="1">
      <c r="C3" s="28"/>
      <c r="D3" s="29"/>
      <c r="E3" s="28"/>
      <c r="F3" s="28"/>
      <c r="G3" s="28"/>
    </row>
    <row r="4" spans="2:8" ht="18.75" outlineLevel="1">
      <c r="B4" t="s">
        <v>329</v>
      </c>
      <c r="C4" s="46" t="s">
        <v>281</v>
      </c>
    </row>
    <row r="5" spans="2:8" ht="18.75" outlineLevel="1">
      <c r="B5" t="s">
        <v>330</v>
      </c>
      <c r="C5" s="46" t="s">
        <v>425</v>
      </c>
    </row>
    <row r="6" spans="2:8" ht="15" outlineLevel="1">
      <c r="B6" t="s">
        <v>331</v>
      </c>
      <c r="C6" s="38" t="s">
        <v>444</v>
      </c>
    </row>
    <row r="7" spans="2:8" ht="15" outlineLevel="1">
      <c r="B7" t="s">
        <v>332</v>
      </c>
      <c r="C7" s="38" t="s">
        <v>592</v>
      </c>
      <c r="G7" s="21"/>
    </row>
    <row r="8" spans="2:8" ht="15" outlineLevel="1">
      <c r="B8" t="s">
        <v>333</v>
      </c>
      <c r="C8" s="87">
        <v>2024</v>
      </c>
      <c r="F8" s="67"/>
      <c r="G8" s="60"/>
      <c r="H8" s="60"/>
    </row>
    <row r="9" spans="2:8" ht="15" outlineLevel="1">
      <c r="B9" t="s">
        <v>334</v>
      </c>
      <c r="C9" s="87">
        <v>2023</v>
      </c>
      <c r="D9" s="59"/>
      <c r="E9" s="59"/>
      <c r="F9" s="67"/>
      <c r="G9" s="60"/>
      <c r="H9" s="60"/>
    </row>
    <row r="10" spans="2:8">
      <c r="B10" s="149" t="s">
        <v>498</v>
      </c>
      <c r="C10" s="149" t="s">
        <v>618</v>
      </c>
      <c r="G10" s="21"/>
    </row>
    <row r="11" spans="2:8">
      <c r="B11" t="str">
        <f>+CONCATENATE("Resultado de ",C9-1)</f>
        <v>Resultado de 2022</v>
      </c>
      <c r="C11">
        <v>-292</v>
      </c>
      <c r="G11" s="21"/>
    </row>
    <row r="12" spans="2:8">
      <c r="C12" t="s">
        <v>443</v>
      </c>
      <c r="G12" s="21"/>
    </row>
    <row r="13" spans="2:8">
      <c r="C13" t="s">
        <v>426</v>
      </c>
      <c r="G13" s="21"/>
    </row>
    <row r="14" spans="2:8">
      <c r="C14" t="s">
        <v>444</v>
      </c>
      <c r="G14" s="21"/>
    </row>
    <row r="15" spans="2:8" ht="15">
      <c r="C15" s="154" t="s">
        <v>445</v>
      </c>
      <c r="G15" s="21"/>
    </row>
    <row r="16" spans="2:8">
      <c r="C16" t="s">
        <v>433</v>
      </c>
      <c r="G16" s="21"/>
    </row>
    <row r="17" spans="3:7">
      <c r="C17" t="s">
        <v>446</v>
      </c>
      <c r="G17" s="21"/>
    </row>
    <row r="18" spans="3:7">
      <c r="C18" t="s">
        <v>444</v>
      </c>
      <c r="G18" s="21"/>
    </row>
    <row r="19" spans="3:7">
      <c r="C19" t="s">
        <v>447</v>
      </c>
      <c r="G19" s="21"/>
    </row>
    <row r="20" spans="3:7">
      <c r="C20" t="s">
        <v>601</v>
      </c>
      <c r="G20" s="21"/>
    </row>
    <row r="21" spans="3:7">
      <c r="G21" s="21"/>
    </row>
    <row r="22" spans="3:7">
      <c r="G22" s="21"/>
    </row>
    <row r="23" spans="3:7">
      <c r="G23" s="21"/>
    </row>
    <row r="24" spans="3:7">
      <c r="G24" s="21"/>
    </row>
    <row r="25" spans="3:7">
      <c r="G25" s="21"/>
    </row>
    <row r="26" spans="3:7">
      <c r="G26" s="21"/>
    </row>
    <row r="27" spans="3:7">
      <c r="G27" s="21"/>
    </row>
    <row r="28" spans="3:7">
      <c r="G28" s="21"/>
    </row>
    <row r="29" spans="3:7">
      <c r="G29" s="21"/>
    </row>
    <row r="30" spans="3:7">
      <c r="G30" s="21"/>
    </row>
    <row r="31" spans="3:7">
      <c r="G31" s="21"/>
    </row>
    <row r="32" spans="3:7">
      <c r="G32" s="21"/>
    </row>
    <row r="33" spans="7:7">
      <c r="G33" s="21"/>
    </row>
    <row r="34" spans="7:7">
      <c r="G34" s="21"/>
    </row>
    <row r="35" spans="7:7">
      <c r="G35" s="21"/>
    </row>
    <row r="36" spans="7:7">
      <c r="G36" s="21"/>
    </row>
    <row r="37" spans="7:7">
      <c r="G37" s="21"/>
    </row>
    <row r="38" spans="7:7">
      <c r="G38" s="21"/>
    </row>
    <row r="39" spans="7:7">
      <c r="G39"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B9D8F-5D77-4949-8E86-9DD1E14DFC04}">
  <sheetPr codeName="Hoja6">
    <tabColor theme="4" tint="0.79998168889431442"/>
  </sheetPr>
  <dimension ref="A1:N253"/>
  <sheetViews>
    <sheetView showGridLines="0" topLeftCell="C63" zoomScale="85" zoomScaleNormal="85" workbookViewId="0">
      <selection activeCell="G71" sqref="G71"/>
    </sheetView>
  </sheetViews>
  <sheetFormatPr baseColWidth="10" defaultColWidth="8.5703125" defaultRowHeight="12.75"/>
  <cols>
    <col min="1" max="1" width="12.5703125" style="1" customWidth="1"/>
    <col min="2" max="2" width="12.85546875" style="1" customWidth="1"/>
    <col min="3" max="3" width="16.42578125" style="1" bestFit="1" customWidth="1"/>
    <col min="4" max="4" width="39.140625" style="1" bestFit="1" customWidth="1"/>
    <col min="5" max="5" width="47.28515625" style="1" bestFit="1" customWidth="1"/>
    <col min="6" max="6" width="49.28515625" style="1" customWidth="1"/>
    <col min="7" max="7" width="39.85546875" style="1" bestFit="1" customWidth="1"/>
    <col min="8" max="247" width="8.5703125" style="1"/>
    <col min="248" max="248" width="5.5703125" style="1" bestFit="1" customWidth="1"/>
    <col min="249" max="249" width="3.85546875" style="1" bestFit="1" customWidth="1"/>
    <col min="250" max="250" width="7.140625" style="1" bestFit="1" customWidth="1"/>
    <col min="251" max="251" width="10.85546875" style="1" bestFit="1" customWidth="1"/>
    <col min="252" max="252" width="35.85546875" style="1" bestFit="1" customWidth="1"/>
    <col min="253" max="253" width="11.85546875" style="1" bestFit="1" customWidth="1"/>
    <col min="254" max="254" width="12.5703125" style="1" bestFit="1" customWidth="1"/>
    <col min="255" max="255" width="13.140625" style="1" bestFit="1" customWidth="1"/>
    <col min="256" max="256" width="11.85546875" style="1" bestFit="1" customWidth="1"/>
    <col min="257" max="503" width="8.5703125" style="1"/>
    <col min="504" max="504" width="5.5703125" style="1" bestFit="1" customWidth="1"/>
    <col min="505" max="505" width="3.85546875" style="1" bestFit="1" customWidth="1"/>
    <col min="506" max="506" width="7.140625" style="1" bestFit="1" customWidth="1"/>
    <col min="507" max="507" width="10.85546875" style="1" bestFit="1" customWidth="1"/>
    <col min="508" max="508" width="35.85546875" style="1" bestFit="1" customWidth="1"/>
    <col min="509" max="509" width="11.85546875" style="1" bestFit="1" customWidth="1"/>
    <col min="510" max="510" width="12.5703125" style="1" bestFit="1" customWidth="1"/>
    <col min="511" max="511" width="13.140625" style="1" bestFit="1" customWidth="1"/>
    <col min="512" max="512" width="11.85546875" style="1" bestFit="1" customWidth="1"/>
    <col min="513" max="759" width="8.5703125" style="1"/>
    <col min="760" max="760" width="5.5703125" style="1" bestFit="1" customWidth="1"/>
    <col min="761" max="761" width="3.85546875" style="1" bestFit="1" customWidth="1"/>
    <col min="762" max="762" width="7.140625" style="1" bestFit="1" customWidth="1"/>
    <col min="763" max="763" width="10.85546875" style="1" bestFit="1" customWidth="1"/>
    <col min="764" max="764" width="35.85546875" style="1" bestFit="1" customWidth="1"/>
    <col min="765" max="765" width="11.85546875" style="1" bestFit="1" customWidth="1"/>
    <col min="766" max="766" width="12.5703125" style="1" bestFit="1" customWidth="1"/>
    <col min="767" max="767" width="13.140625" style="1" bestFit="1" customWidth="1"/>
    <col min="768" max="768" width="11.85546875" style="1" bestFit="1" customWidth="1"/>
    <col min="769" max="1015" width="8.5703125" style="1"/>
    <col min="1016" max="1016" width="5.5703125" style="1" bestFit="1" customWidth="1"/>
    <col min="1017" max="1017" width="3.85546875" style="1" bestFit="1" customWidth="1"/>
    <col min="1018" max="1018" width="7.140625" style="1" bestFit="1" customWidth="1"/>
    <col min="1019" max="1019" width="10.85546875" style="1" bestFit="1" customWidth="1"/>
    <col min="1020" max="1020" width="35.85546875" style="1" bestFit="1" customWidth="1"/>
    <col min="1021" max="1021" width="11.85546875" style="1" bestFit="1" customWidth="1"/>
    <col min="1022" max="1022" width="12.5703125" style="1" bestFit="1" customWidth="1"/>
    <col min="1023" max="1023" width="13.140625" style="1" bestFit="1" customWidth="1"/>
    <col min="1024" max="1024" width="11.85546875" style="1" bestFit="1" customWidth="1"/>
    <col min="1025" max="1271" width="8.5703125" style="1"/>
    <col min="1272" max="1272" width="5.5703125" style="1" bestFit="1" customWidth="1"/>
    <col min="1273" max="1273" width="3.85546875" style="1" bestFit="1" customWidth="1"/>
    <col min="1274" max="1274" width="7.140625" style="1" bestFit="1" customWidth="1"/>
    <col min="1275" max="1275" width="10.85546875" style="1" bestFit="1" customWidth="1"/>
    <col min="1276" max="1276" width="35.85546875" style="1" bestFit="1" customWidth="1"/>
    <col min="1277" max="1277" width="11.85546875" style="1" bestFit="1" customWidth="1"/>
    <col min="1278" max="1278" width="12.5703125" style="1" bestFit="1" customWidth="1"/>
    <col min="1279" max="1279" width="13.140625" style="1" bestFit="1" customWidth="1"/>
    <col min="1280" max="1280" width="11.85546875" style="1" bestFit="1" customWidth="1"/>
    <col min="1281" max="1527" width="8.5703125" style="1"/>
    <col min="1528" max="1528" width="5.5703125" style="1" bestFit="1" customWidth="1"/>
    <col min="1529" max="1529" width="3.85546875" style="1" bestFit="1" customWidth="1"/>
    <col min="1530" max="1530" width="7.140625" style="1" bestFit="1" customWidth="1"/>
    <col min="1531" max="1531" width="10.85546875" style="1" bestFit="1" customWidth="1"/>
    <col min="1532" max="1532" width="35.85546875" style="1" bestFit="1" customWidth="1"/>
    <col min="1533" max="1533" width="11.85546875" style="1" bestFit="1" customWidth="1"/>
    <col min="1534" max="1534" width="12.5703125" style="1" bestFit="1" customWidth="1"/>
    <col min="1535" max="1535" width="13.140625" style="1" bestFit="1" customWidth="1"/>
    <col min="1536" max="1536" width="11.85546875" style="1" bestFit="1" customWidth="1"/>
    <col min="1537" max="1783" width="8.5703125" style="1"/>
    <col min="1784" max="1784" width="5.5703125" style="1" bestFit="1" customWidth="1"/>
    <col min="1785" max="1785" width="3.85546875" style="1" bestFit="1" customWidth="1"/>
    <col min="1786" max="1786" width="7.140625" style="1" bestFit="1" customWidth="1"/>
    <col min="1787" max="1787" width="10.85546875" style="1" bestFit="1" customWidth="1"/>
    <col min="1788" max="1788" width="35.85546875" style="1" bestFit="1" customWidth="1"/>
    <col min="1789" max="1789" width="11.85546875" style="1" bestFit="1" customWidth="1"/>
    <col min="1790" max="1790" width="12.5703125" style="1" bestFit="1" customWidth="1"/>
    <col min="1791" max="1791" width="13.140625" style="1" bestFit="1" customWidth="1"/>
    <col min="1792" max="1792" width="11.85546875" style="1" bestFit="1" customWidth="1"/>
    <col min="1793" max="2039" width="8.5703125" style="1"/>
    <col min="2040" max="2040" width="5.5703125" style="1" bestFit="1" customWidth="1"/>
    <col min="2041" max="2041" width="3.85546875" style="1" bestFit="1" customWidth="1"/>
    <col min="2042" max="2042" width="7.140625" style="1" bestFit="1" customWidth="1"/>
    <col min="2043" max="2043" width="10.85546875" style="1" bestFit="1" customWidth="1"/>
    <col min="2044" max="2044" width="35.85546875" style="1" bestFit="1" customWidth="1"/>
    <col min="2045" max="2045" width="11.85546875" style="1" bestFit="1" customWidth="1"/>
    <col min="2046" max="2046" width="12.5703125" style="1" bestFit="1" customWidth="1"/>
    <col min="2047" max="2047" width="13.140625" style="1" bestFit="1" customWidth="1"/>
    <col min="2048" max="2048" width="11.85546875" style="1" bestFit="1" customWidth="1"/>
    <col min="2049" max="2295" width="8.5703125" style="1"/>
    <col min="2296" max="2296" width="5.5703125" style="1" bestFit="1" customWidth="1"/>
    <col min="2297" max="2297" width="3.85546875" style="1" bestFit="1" customWidth="1"/>
    <col min="2298" max="2298" width="7.140625" style="1" bestFit="1" customWidth="1"/>
    <col min="2299" max="2299" width="10.85546875" style="1" bestFit="1" customWidth="1"/>
    <col min="2300" max="2300" width="35.85546875" style="1" bestFit="1" customWidth="1"/>
    <col min="2301" max="2301" width="11.85546875" style="1" bestFit="1" customWidth="1"/>
    <col min="2302" max="2302" width="12.5703125" style="1" bestFit="1" customWidth="1"/>
    <col min="2303" max="2303" width="13.140625" style="1" bestFit="1" customWidth="1"/>
    <col min="2304" max="2304" width="11.85546875" style="1" bestFit="1" customWidth="1"/>
    <col min="2305" max="2551" width="8.5703125" style="1"/>
    <col min="2552" max="2552" width="5.5703125" style="1" bestFit="1" customWidth="1"/>
    <col min="2553" max="2553" width="3.85546875" style="1" bestFit="1" customWidth="1"/>
    <col min="2554" max="2554" width="7.140625" style="1" bestFit="1" customWidth="1"/>
    <col min="2555" max="2555" width="10.85546875" style="1" bestFit="1" customWidth="1"/>
    <col min="2556" max="2556" width="35.85546875" style="1" bestFit="1" customWidth="1"/>
    <col min="2557" max="2557" width="11.85546875" style="1" bestFit="1" customWidth="1"/>
    <col min="2558" max="2558" width="12.5703125" style="1" bestFit="1" customWidth="1"/>
    <col min="2559" max="2559" width="13.140625" style="1" bestFit="1" customWidth="1"/>
    <col min="2560" max="2560" width="11.85546875" style="1" bestFit="1" customWidth="1"/>
    <col min="2561" max="2807" width="8.5703125" style="1"/>
    <col min="2808" max="2808" width="5.5703125" style="1" bestFit="1" customWidth="1"/>
    <col min="2809" max="2809" width="3.85546875" style="1" bestFit="1" customWidth="1"/>
    <col min="2810" max="2810" width="7.140625" style="1" bestFit="1" customWidth="1"/>
    <col min="2811" max="2811" width="10.85546875" style="1" bestFit="1" customWidth="1"/>
    <col min="2812" max="2812" width="35.85546875" style="1" bestFit="1" customWidth="1"/>
    <col min="2813" max="2813" width="11.85546875" style="1" bestFit="1" customWidth="1"/>
    <col min="2814" max="2814" width="12.5703125" style="1" bestFit="1" customWidth="1"/>
    <col min="2815" max="2815" width="13.140625" style="1" bestFit="1" customWidth="1"/>
    <col min="2816" max="2816" width="11.85546875" style="1" bestFit="1" customWidth="1"/>
    <col min="2817" max="3063" width="8.5703125" style="1"/>
    <col min="3064" max="3064" width="5.5703125" style="1" bestFit="1" customWidth="1"/>
    <col min="3065" max="3065" width="3.85546875" style="1" bestFit="1" customWidth="1"/>
    <col min="3066" max="3066" width="7.140625" style="1" bestFit="1" customWidth="1"/>
    <col min="3067" max="3067" width="10.85546875" style="1" bestFit="1" customWidth="1"/>
    <col min="3068" max="3068" width="35.85546875" style="1" bestFit="1" customWidth="1"/>
    <col min="3069" max="3069" width="11.85546875" style="1" bestFit="1" customWidth="1"/>
    <col min="3070" max="3070" width="12.5703125" style="1" bestFit="1" customWidth="1"/>
    <col min="3071" max="3071" width="13.140625" style="1" bestFit="1" customWidth="1"/>
    <col min="3072" max="3072" width="11.85546875" style="1" bestFit="1" customWidth="1"/>
    <col min="3073" max="3319" width="8.5703125" style="1"/>
    <col min="3320" max="3320" width="5.5703125" style="1" bestFit="1" customWidth="1"/>
    <col min="3321" max="3321" width="3.85546875" style="1" bestFit="1" customWidth="1"/>
    <col min="3322" max="3322" width="7.140625" style="1" bestFit="1" customWidth="1"/>
    <col min="3323" max="3323" width="10.85546875" style="1" bestFit="1" customWidth="1"/>
    <col min="3324" max="3324" width="35.85546875" style="1" bestFit="1" customWidth="1"/>
    <col min="3325" max="3325" width="11.85546875" style="1" bestFit="1" customWidth="1"/>
    <col min="3326" max="3326" width="12.5703125" style="1" bestFit="1" customWidth="1"/>
    <col min="3327" max="3327" width="13.140625" style="1" bestFit="1" customWidth="1"/>
    <col min="3328" max="3328" width="11.85546875" style="1" bestFit="1" customWidth="1"/>
    <col min="3329" max="3575" width="8.5703125" style="1"/>
    <col min="3576" max="3576" width="5.5703125" style="1" bestFit="1" customWidth="1"/>
    <col min="3577" max="3577" width="3.85546875" style="1" bestFit="1" customWidth="1"/>
    <col min="3578" max="3578" width="7.140625" style="1" bestFit="1" customWidth="1"/>
    <col min="3579" max="3579" width="10.85546875" style="1" bestFit="1" customWidth="1"/>
    <col min="3580" max="3580" width="35.85546875" style="1" bestFit="1" customWidth="1"/>
    <col min="3581" max="3581" width="11.85546875" style="1" bestFit="1" customWidth="1"/>
    <col min="3582" max="3582" width="12.5703125" style="1" bestFit="1" customWidth="1"/>
    <col min="3583" max="3583" width="13.140625" style="1" bestFit="1" customWidth="1"/>
    <col min="3584" max="3584" width="11.85546875" style="1" bestFit="1" customWidth="1"/>
    <col min="3585" max="3831" width="8.5703125" style="1"/>
    <col min="3832" max="3832" width="5.5703125" style="1" bestFit="1" customWidth="1"/>
    <col min="3833" max="3833" width="3.85546875" style="1" bestFit="1" customWidth="1"/>
    <col min="3834" max="3834" width="7.140625" style="1" bestFit="1" customWidth="1"/>
    <col min="3835" max="3835" width="10.85546875" style="1" bestFit="1" customWidth="1"/>
    <col min="3836" max="3836" width="35.85546875" style="1" bestFit="1" customWidth="1"/>
    <col min="3837" max="3837" width="11.85546875" style="1" bestFit="1" customWidth="1"/>
    <col min="3838" max="3838" width="12.5703125" style="1" bestFit="1" customWidth="1"/>
    <col min="3839" max="3839" width="13.140625" style="1" bestFit="1" customWidth="1"/>
    <col min="3840" max="3840" width="11.85546875" style="1" bestFit="1" customWidth="1"/>
    <col min="3841" max="4087" width="8.5703125" style="1"/>
    <col min="4088" max="4088" width="5.5703125" style="1" bestFit="1" customWidth="1"/>
    <col min="4089" max="4089" width="3.85546875" style="1" bestFit="1" customWidth="1"/>
    <col min="4090" max="4090" width="7.140625" style="1" bestFit="1" customWidth="1"/>
    <col min="4091" max="4091" width="10.85546875" style="1" bestFit="1" customWidth="1"/>
    <col min="4092" max="4092" width="35.85546875" style="1" bestFit="1" customWidth="1"/>
    <col min="4093" max="4093" width="11.85546875" style="1" bestFit="1" customWidth="1"/>
    <col min="4094" max="4094" width="12.5703125" style="1" bestFit="1" customWidth="1"/>
    <col min="4095" max="4095" width="13.140625" style="1" bestFit="1" customWidth="1"/>
    <col min="4096" max="4096" width="11.85546875" style="1" bestFit="1" customWidth="1"/>
    <col min="4097" max="4343" width="8.5703125" style="1"/>
    <col min="4344" max="4344" width="5.5703125" style="1" bestFit="1" customWidth="1"/>
    <col min="4345" max="4345" width="3.85546875" style="1" bestFit="1" customWidth="1"/>
    <col min="4346" max="4346" width="7.140625" style="1" bestFit="1" customWidth="1"/>
    <col min="4347" max="4347" width="10.85546875" style="1" bestFit="1" customWidth="1"/>
    <col min="4348" max="4348" width="35.85546875" style="1" bestFit="1" customWidth="1"/>
    <col min="4349" max="4349" width="11.85546875" style="1" bestFit="1" customWidth="1"/>
    <col min="4350" max="4350" width="12.5703125" style="1" bestFit="1" customWidth="1"/>
    <col min="4351" max="4351" width="13.140625" style="1" bestFit="1" customWidth="1"/>
    <col min="4352" max="4352" width="11.85546875" style="1" bestFit="1" customWidth="1"/>
    <col min="4353" max="4599" width="8.5703125" style="1"/>
    <col min="4600" max="4600" width="5.5703125" style="1" bestFit="1" customWidth="1"/>
    <col min="4601" max="4601" width="3.85546875" style="1" bestFit="1" customWidth="1"/>
    <col min="4602" max="4602" width="7.140625" style="1" bestFit="1" customWidth="1"/>
    <col min="4603" max="4603" width="10.85546875" style="1" bestFit="1" customWidth="1"/>
    <col min="4604" max="4604" width="35.85546875" style="1" bestFit="1" customWidth="1"/>
    <col min="4605" max="4605" width="11.85546875" style="1" bestFit="1" customWidth="1"/>
    <col min="4606" max="4606" width="12.5703125" style="1" bestFit="1" customWidth="1"/>
    <col min="4607" max="4607" width="13.140625" style="1" bestFit="1" customWidth="1"/>
    <col min="4608" max="4608" width="11.85546875" style="1" bestFit="1" customWidth="1"/>
    <col min="4609" max="4855" width="8.5703125" style="1"/>
    <col min="4856" max="4856" width="5.5703125" style="1" bestFit="1" customWidth="1"/>
    <col min="4857" max="4857" width="3.85546875" style="1" bestFit="1" customWidth="1"/>
    <col min="4858" max="4858" width="7.140625" style="1" bestFit="1" customWidth="1"/>
    <col min="4859" max="4859" width="10.85546875" style="1" bestFit="1" customWidth="1"/>
    <col min="4860" max="4860" width="35.85546875" style="1" bestFit="1" customWidth="1"/>
    <col min="4861" max="4861" width="11.85546875" style="1" bestFit="1" customWidth="1"/>
    <col min="4862" max="4862" width="12.5703125" style="1" bestFit="1" customWidth="1"/>
    <col min="4863" max="4863" width="13.140625" style="1" bestFit="1" customWidth="1"/>
    <col min="4864" max="4864" width="11.85546875" style="1" bestFit="1" customWidth="1"/>
    <col min="4865" max="5111" width="8.5703125" style="1"/>
    <col min="5112" max="5112" width="5.5703125" style="1" bestFit="1" customWidth="1"/>
    <col min="5113" max="5113" width="3.85546875" style="1" bestFit="1" customWidth="1"/>
    <col min="5114" max="5114" width="7.140625" style="1" bestFit="1" customWidth="1"/>
    <col min="5115" max="5115" width="10.85546875" style="1" bestFit="1" customWidth="1"/>
    <col min="5116" max="5116" width="35.85546875" style="1" bestFit="1" customWidth="1"/>
    <col min="5117" max="5117" width="11.85546875" style="1" bestFit="1" customWidth="1"/>
    <col min="5118" max="5118" width="12.5703125" style="1" bestFit="1" customWidth="1"/>
    <col min="5119" max="5119" width="13.140625" style="1" bestFit="1" customWidth="1"/>
    <col min="5120" max="5120" width="11.85546875" style="1" bestFit="1" customWidth="1"/>
    <col min="5121" max="5367" width="8.5703125" style="1"/>
    <col min="5368" max="5368" width="5.5703125" style="1" bestFit="1" customWidth="1"/>
    <col min="5369" max="5369" width="3.85546875" style="1" bestFit="1" customWidth="1"/>
    <col min="5370" max="5370" width="7.140625" style="1" bestFit="1" customWidth="1"/>
    <col min="5371" max="5371" width="10.85546875" style="1" bestFit="1" customWidth="1"/>
    <col min="5372" max="5372" width="35.85546875" style="1" bestFit="1" customWidth="1"/>
    <col min="5373" max="5373" width="11.85546875" style="1" bestFit="1" customWidth="1"/>
    <col min="5374" max="5374" width="12.5703125" style="1" bestFit="1" customWidth="1"/>
    <col min="5375" max="5375" width="13.140625" style="1" bestFit="1" customWidth="1"/>
    <col min="5376" max="5376" width="11.85546875" style="1" bestFit="1" customWidth="1"/>
    <col min="5377" max="5623" width="8.5703125" style="1"/>
    <col min="5624" max="5624" width="5.5703125" style="1" bestFit="1" customWidth="1"/>
    <col min="5625" max="5625" width="3.85546875" style="1" bestFit="1" customWidth="1"/>
    <col min="5626" max="5626" width="7.140625" style="1" bestFit="1" customWidth="1"/>
    <col min="5627" max="5627" width="10.85546875" style="1" bestFit="1" customWidth="1"/>
    <col min="5628" max="5628" width="35.85546875" style="1" bestFit="1" customWidth="1"/>
    <col min="5629" max="5629" width="11.85546875" style="1" bestFit="1" customWidth="1"/>
    <col min="5630" max="5630" width="12.5703125" style="1" bestFit="1" customWidth="1"/>
    <col min="5631" max="5631" width="13.140625" style="1" bestFit="1" customWidth="1"/>
    <col min="5632" max="5632" width="11.85546875" style="1" bestFit="1" customWidth="1"/>
    <col min="5633" max="5879" width="8.5703125" style="1"/>
    <col min="5880" max="5880" width="5.5703125" style="1" bestFit="1" customWidth="1"/>
    <col min="5881" max="5881" width="3.85546875" style="1" bestFit="1" customWidth="1"/>
    <col min="5882" max="5882" width="7.140625" style="1" bestFit="1" customWidth="1"/>
    <col min="5883" max="5883" width="10.85546875" style="1" bestFit="1" customWidth="1"/>
    <col min="5884" max="5884" width="35.85546875" style="1" bestFit="1" customWidth="1"/>
    <col min="5885" max="5885" width="11.85546875" style="1" bestFit="1" customWidth="1"/>
    <col min="5886" max="5886" width="12.5703125" style="1" bestFit="1" customWidth="1"/>
    <col min="5887" max="5887" width="13.140625" style="1" bestFit="1" customWidth="1"/>
    <col min="5888" max="5888" width="11.85546875" style="1" bestFit="1" customWidth="1"/>
    <col min="5889" max="6135" width="8.5703125" style="1"/>
    <col min="6136" max="6136" width="5.5703125" style="1" bestFit="1" customWidth="1"/>
    <col min="6137" max="6137" width="3.85546875" style="1" bestFit="1" customWidth="1"/>
    <col min="6138" max="6138" width="7.140625" style="1" bestFit="1" customWidth="1"/>
    <col min="6139" max="6139" width="10.85546875" style="1" bestFit="1" customWidth="1"/>
    <col min="6140" max="6140" width="35.85546875" style="1" bestFit="1" customWidth="1"/>
    <col min="6141" max="6141" width="11.85546875" style="1" bestFit="1" customWidth="1"/>
    <col min="6142" max="6142" width="12.5703125" style="1" bestFit="1" customWidth="1"/>
    <col min="6143" max="6143" width="13.140625" style="1" bestFit="1" customWidth="1"/>
    <col min="6144" max="6144" width="11.85546875" style="1" bestFit="1" customWidth="1"/>
    <col min="6145" max="6391" width="8.5703125" style="1"/>
    <col min="6392" max="6392" width="5.5703125" style="1" bestFit="1" customWidth="1"/>
    <col min="6393" max="6393" width="3.85546875" style="1" bestFit="1" customWidth="1"/>
    <col min="6394" max="6394" width="7.140625" style="1" bestFit="1" customWidth="1"/>
    <col min="6395" max="6395" width="10.85546875" style="1" bestFit="1" customWidth="1"/>
    <col min="6396" max="6396" width="35.85546875" style="1" bestFit="1" customWidth="1"/>
    <col min="6397" max="6397" width="11.85546875" style="1" bestFit="1" customWidth="1"/>
    <col min="6398" max="6398" width="12.5703125" style="1" bestFit="1" customWidth="1"/>
    <col min="6399" max="6399" width="13.140625" style="1" bestFit="1" customWidth="1"/>
    <col min="6400" max="6400" width="11.85546875" style="1" bestFit="1" customWidth="1"/>
    <col min="6401" max="6647" width="8.5703125" style="1"/>
    <col min="6648" max="6648" width="5.5703125" style="1" bestFit="1" customWidth="1"/>
    <col min="6649" max="6649" width="3.85546875" style="1" bestFit="1" customWidth="1"/>
    <col min="6650" max="6650" width="7.140625" style="1" bestFit="1" customWidth="1"/>
    <col min="6651" max="6651" width="10.85546875" style="1" bestFit="1" customWidth="1"/>
    <col min="6652" max="6652" width="35.85546875" style="1" bestFit="1" customWidth="1"/>
    <col min="6653" max="6653" width="11.85546875" style="1" bestFit="1" customWidth="1"/>
    <col min="6654" max="6654" width="12.5703125" style="1" bestFit="1" customWidth="1"/>
    <col min="6655" max="6655" width="13.140625" style="1" bestFit="1" customWidth="1"/>
    <col min="6656" max="6656" width="11.85546875" style="1" bestFit="1" customWidth="1"/>
    <col min="6657" max="6903" width="8.5703125" style="1"/>
    <col min="6904" max="6904" width="5.5703125" style="1" bestFit="1" customWidth="1"/>
    <col min="6905" max="6905" width="3.85546875" style="1" bestFit="1" customWidth="1"/>
    <col min="6906" max="6906" width="7.140625" style="1" bestFit="1" customWidth="1"/>
    <col min="6907" max="6907" width="10.85546875" style="1" bestFit="1" customWidth="1"/>
    <col min="6908" max="6908" width="35.85546875" style="1" bestFit="1" customWidth="1"/>
    <col min="6909" max="6909" width="11.85546875" style="1" bestFit="1" customWidth="1"/>
    <col min="6910" max="6910" width="12.5703125" style="1" bestFit="1" customWidth="1"/>
    <col min="6911" max="6911" width="13.140625" style="1" bestFit="1" customWidth="1"/>
    <col min="6912" max="6912" width="11.85546875" style="1" bestFit="1" customWidth="1"/>
    <col min="6913" max="7159" width="8.5703125" style="1"/>
    <col min="7160" max="7160" width="5.5703125" style="1" bestFit="1" customWidth="1"/>
    <col min="7161" max="7161" width="3.85546875" style="1" bestFit="1" customWidth="1"/>
    <col min="7162" max="7162" width="7.140625" style="1" bestFit="1" customWidth="1"/>
    <col min="7163" max="7163" width="10.85546875" style="1" bestFit="1" customWidth="1"/>
    <col min="7164" max="7164" width="35.85546875" style="1" bestFit="1" customWidth="1"/>
    <col min="7165" max="7165" width="11.85546875" style="1" bestFit="1" customWidth="1"/>
    <col min="7166" max="7166" width="12.5703125" style="1" bestFit="1" customWidth="1"/>
    <col min="7167" max="7167" width="13.140625" style="1" bestFit="1" customWidth="1"/>
    <col min="7168" max="7168" width="11.85546875" style="1" bestFit="1" customWidth="1"/>
    <col min="7169" max="7415" width="8.5703125" style="1"/>
    <col min="7416" max="7416" width="5.5703125" style="1" bestFit="1" customWidth="1"/>
    <col min="7417" max="7417" width="3.85546875" style="1" bestFit="1" customWidth="1"/>
    <col min="7418" max="7418" width="7.140625" style="1" bestFit="1" customWidth="1"/>
    <col min="7419" max="7419" width="10.85546875" style="1" bestFit="1" customWidth="1"/>
    <col min="7420" max="7420" width="35.85546875" style="1" bestFit="1" customWidth="1"/>
    <col min="7421" max="7421" width="11.85546875" style="1" bestFit="1" customWidth="1"/>
    <col min="7422" max="7422" width="12.5703125" style="1" bestFit="1" customWidth="1"/>
    <col min="7423" max="7423" width="13.140625" style="1" bestFit="1" customWidth="1"/>
    <col min="7424" max="7424" width="11.85546875" style="1" bestFit="1" customWidth="1"/>
    <col min="7425" max="7671" width="8.5703125" style="1"/>
    <col min="7672" max="7672" width="5.5703125" style="1" bestFit="1" customWidth="1"/>
    <col min="7673" max="7673" width="3.85546875" style="1" bestFit="1" customWidth="1"/>
    <col min="7674" max="7674" width="7.140625" style="1" bestFit="1" customWidth="1"/>
    <col min="7675" max="7675" width="10.85546875" style="1" bestFit="1" customWidth="1"/>
    <col min="7676" max="7676" width="35.85546875" style="1" bestFit="1" customWidth="1"/>
    <col min="7677" max="7677" width="11.85546875" style="1" bestFit="1" customWidth="1"/>
    <col min="7678" max="7678" width="12.5703125" style="1" bestFit="1" customWidth="1"/>
    <col min="7679" max="7679" width="13.140625" style="1" bestFit="1" customWidth="1"/>
    <col min="7680" max="7680" width="11.85546875" style="1" bestFit="1" customWidth="1"/>
    <col min="7681" max="7927" width="8.5703125" style="1"/>
    <col min="7928" max="7928" width="5.5703125" style="1" bestFit="1" customWidth="1"/>
    <col min="7929" max="7929" width="3.85546875" style="1" bestFit="1" customWidth="1"/>
    <col min="7930" max="7930" width="7.140625" style="1" bestFit="1" customWidth="1"/>
    <col min="7931" max="7931" width="10.85546875" style="1" bestFit="1" customWidth="1"/>
    <col min="7932" max="7932" width="35.85546875" style="1" bestFit="1" customWidth="1"/>
    <col min="7933" max="7933" width="11.85546875" style="1" bestFit="1" customWidth="1"/>
    <col min="7934" max="7934" width="12.5703125" style="1" bestFit="1" customWidth="1"/>
    <col min="7935" max="7935" width="13.140625" style="1" bestFit="1" customWidth="1"/>
    <col min="7936" max="7936" width="11.85546875" style="1" bestFit="1" customWidth="1"/>
    <col min="7937" max="8183" width="8.5703125" style="1"/>
    <col min="8184" max="8184" width="5.5703125" style="1" bestFit="1" customWidth="1"/>
    <col min="8185" max="8185" width="3.85546875" style="1" bestFit="1" customWidth="1"/>
    <col min="8186" max="8186" width="7.140625" style="1" bestFit="1" customWidth="1"/>
    <col min="8187" max="8187" width="10.85546875" style="1" bestFit="1" customWidth="1"/>
    <col min="8188" max="8188" width="35.85546875" style="1" bestFit="1" customWidth="1"/>
    <col min="8189" max="8189" width="11.85546875" style="1" bestFit="1" customWidth="1"/>
    <col min="8190" max="8190" width="12.5703125" style="1" bestFit="1" customWidth="1"/>
    <col min="8191" max="8191" width="13.140625" style="1" bestFit="1" customWidth="1"/>
    <col min="8192" max="8192" width="11.85546875" style="1" bestFit="1" customWidth="1"/>
    <col min="8193" max="8439" width="8.5703125" style="1"/>
    <col min="8440" max="8440" width="5.5703125" style="1" bestFit="1" customWidth="1"/>
    <col min="8441" max="8441" width="3.85546875" style="1" bestFit="1" customWidth="1"/>
    <col min="8442" max="8442" width="7.140625" style="1" bestFit="1" customWidth="1"/>
    <col min="8443" max="8443" width="10.85546875" style="1" bestFit="1" customWidth="1"/>
    <col min="8444" max="8444" width="35.85546875" style="1" bestFit="1" customWidth="1"/>
    <col min="8445" max="8445" width="11.85546875" style="1" bestFit="1" customWidth="1"/>
    <col min="8446" max="8446" width="12.5703125" style="1" bestFit="1" customWidth="1"/>
    <col min="8447" max="8447" width="13.140625" style="1" bestFit="1" customWidth="1"/>
    <col min="8448" max="8448" width="11.85546875" style="1" bestFit="1" customWidth="1"/>
    <col min="8449" max="8695" width="8.5703125" style="1"/>
    <col min="8696" max="8696" width="5.5703125" style="1" bestFit="1" customWidth="1"/>
    <col min="8697" max="8697" width="3.85546875" style="1" bestFit="1" customWidth="1"/>
    <col min="8698" max="8698" width="7.140625" style="1" bestFit="1" customWidth="1"/>
    <col min="8699" max="8699" width="10.85546875" style="1" bestFit="1" customWidth="1"/>
    <col min="8700" max="8700" width="35.85546875" style="1" bestFit="1" customWidth="1"/>
    <col min="8701" max="8701" width="11.85546875" style="1" bestFit="1" customWidth="1"/>
    <col min="8702" max="8702" width="12.5703125" style="1" bestFit="1" customWidth="1"/>
    <col min="8703" max="8703" width="13.140625" style="1" bestFit="1" customWidth="1"/>
    <col min="8704" max="8704" width="11.85546875" style="1" bestFit="1" customWidth="1"/>
    <col min="8705" max="8951" width="8.5703125" style="1"/>
    <col min="8952" max="8952" width="5.5703125" style="1" bestFit="1" customWidth="1"/>
    <col min="8953" max="8953" width="3.85546875" style="1" bestFit="1" customWidth="1"/>
    <col min="8954" max="8954" width="7.140625" style="1" bestFit="1" customWidth="1"/>
    <col min="8955" max="8955" width="10.85546875" style="1" bestFit="1" customWidth="1"/>
    <col min="8956" max="8956" width="35.85546875" style="1" bestFit="1" customWidth="1"/>
    <col min="8957" max="8957" width="11.85546875" style="1" bestFit="1" customWidth="1"/>
    <col min="8958" max="8958" width="12.5703125" style="1" bestFit="1" customWidth="1"/>
    <col min="8959" max="8959" width="13.140625" style="1" bestFit="1" customWidth="1"/>
    <col min="8960" max="8960" width="11.85546875" style="1" bestFit="1" customWidth="1"/>
    <col min="8961" max="9207" width="8.5703125" style="1"/>
    <col min="9208" max="9208" width="5.5703125" style="1" bestFit="1" customWidth="1"/>
    <col min="9209" max="9209" width="3.85546875" style="1" bestFit="1" customWidth="1"/>
    <col min="9210" max="9210" width="7.140625" style="1" bestFit="1" customWidth="1"/>
    <col min="9211" max="9211" width="10.85546875" style="1" bestFit="1" customWidth="1"/>
    <col min="9212" max="9212" width="35.85546875" style="1" bestFit="1" customWidth="1"/>
    <col min="9213" max="9213" width="11.85546875" style="1" bestFit="1" customWidth="1"/>
    <col min="9214" max="9214" width="12.5703125" style="1" bestFit="1" customWidth="1"/>
    <col min="9215" max="9215" width="13.140625" style="1" bestFit="1" customWidth="1"/>
    <col min="9216" max="9216" width="11.85546875" style="1" bestFit="1" customWidth="1"/>
    <col min="9217" max="9463" width="8.5703125" style="1"/>
    <col min="9464" max="9464" width="5.5703125" style="1" bestFit="1" customWidth="1"/>
    <col min="9465" max="9465" width="3.85546875" style="1" bestFit="1" customWidth="1"/>
    <col min="9466" max="9466" width="7.140625" style="1" bestFit="1" customWidth="1"/>
    <col min="9467" max="9467" width="10.85546875" style="1" bestFit="1" customWidth="1"/>
    <col min="9468" max="9468" width="35.85546875" style="1" bestFit="1" customWidth="1"/>
    <col min="9469" max="9469" width="11.85546875" style="1" bestFit="1" customWidth="1"/>
    <col min="9470" max="9470" width="12.5703125" style="1" bestFit="1" customWidth="1"/>
    <col min="9471" max="9471" width="13.140625" style="1" bestFit="1" customWidth="1"/>
    <col min="9472" max="9472" width="11.85546875" style="1" bestFit="1" customWidth="1"/>
    <col min="9473" max="9719" width="8.5703125" style="1"/>
    <col min="9720" max="9720" width="5.5703125" style="1" bestFit="1" customWidth="1"/>
    <col min="9721" max="9721" width="3.85546875" style="1" bestFit="1" customWidth="1"/>
    <col min="9722" max="9722" width="7.140625" style="1" bestFit="1" customWidth="1"/>
    <col min="9723" max="9723" width="10.85546875" style="1" bestFit="1" customWidth="1"/>
    <col min="9724" max="9724" width="35.85546875" style="1" bestFit="1" customWidth="1"/>
    <col min="9725" max="9725" width="11.85546875" style="1" bestFit="1" customWidth="1"/>
    <col min="9726" max="9726" width="12.5703125" style="1" bestFit="1" customWidth="1"/>
    <col min="9727" max="9727" width="13.140625" style="1" bestFit="1" customWidth="1"/>
    <col min="9728" max="9728" width="11.85546875" style="1" bestFit="1" customWidth="1"/>
    <col min="9729" max="9975" width="8.5703125" style="1"/>
    <col min="9976" max="9976" width="5.5703125" style="1" bestFit="1" customWidth="1"/>
    <col min="9977" max="9977" width="3.85546875" style="1" bestFit="1" customWidth="1"/>
    <col min="9978" max="9978" width="7.140625" style="1" bestFit="1" customWidth="1"/>
    <col min="9979" max="9979" width="10.85546875" style="1" bestFit="1" customWidth="1"/>
    <col min="9980" max="9980" width="35.85546875" style="1" bestFit="1" customWidth="1"/>
    <col min="9981" max="9981" width="11.85546875" style="1" bestFit="1" customWidth="1"/>
    <col min="9982" max="9982" width="12.5703125" style="1" bestFit="1" customWidth="1"/>
    <col min="9983" max="9983" width="13.140625" style="1" bestFit="1" customWidth="1"/>
    <col min="9984" max="9984" width="11.85546875" style="1" bestFit="1" customWidth="1"/>
    <col min="9985" max="10231" width="8.5703125" style="1"/>
    <col min="10232" max="10232" width="5.5703125" style="1" bestFit="1" customWidth="1"/>
    <col min="10233" max="10233" width="3.85546875" style="1" bestFit="1" customWidth="1"/>
    <col min="10234" max="10234" width="7.140625" style="1" bestFit="1" customWidth="1"/>
    <col min="10235" max="10235" width="10.85546875" style="1" bestFit="1" customWidth="1"/>
    <col min="10236" max="10236" width="35.85546875" style="1" bestFit="1" customWidth="1"/>
    <col min="10237" max="10237" width="11.85546875" style="1" bestFit="1" customWidth="1"/>
    <col min="10238" max="10238" width="12.5703125" style="1" bestFit="1" customWidth="1"/>
    <col min="10239" max="10239" width="13.140625" style="1" bestFit="1" customWidth="1"/>
    <col min="10240" max="10240" width="11.85546875" style="1" bestFit="1" customWidth="1"/>
    <col min="10241" max="10487" width="8.5703125" style="1"/>
    <col min="10488" max="10488" width="5.5703125" style="1" bestFit="1" customWidth="1"/>
    <col min="10489" max="10489" width="3.85546875" style="1" bestFit="1" customWidth="1"/>
    <col min="10490" max="10490" width="7.140625" style="1" bestFit="1" customWidth="1"/>
    <col min="10491" max="10491" width="10.85546875" style="1" bestFit="1" customWidth="1"/>
    <col min="10492" max="10492" width="35.85546875" style="1" bestFit="1" customWidth="1"/>
    <col min="10493" max="10493" width="11.85546875" style="1" bestFit="1" customWidth="1"/>
    <col min="10494" max="10494" width="12.5703125" style="1" bestFit="1" customWidth="1"/>
    <col min="10495" max="10495" width="13.140625" style="1" bestFit="1" customWidth="1"/>
    <col min="10496" max="10496" width="11.85546875" style="1" bestFit="1" customWidth="1"/>
    <col min="10497" max="10743" width="8.5703125" style="1"/>
    <col min="10744" max="10744" width="5.5703125" style="1" bestFit="1" customWidth="1"/>
    <col min="10745" max="10745" width="3.85546875" style="1" bestFit="1" customWidth="1"/>
    <col min="10746" max="10746" width="7.140625" style="1" bestFit="1" customWidth="1"/>
    <col min="10747" max="10747" width="10.85546875" style="1" bestFit="1" customWidth="1"/>
    <col min="10748" max="10748" width="35.85546875" style="1" bestFit="1" customWidth="1"/>
    <col min="10749" max="10749" width="11.85546875" style="1" bestFit="1" customWidth="1"/>
    <col min="10750" max="10750" width="12.5703125" style="1" bestFit="1" customWidth="1"/>
    <col min="10751" max="10751" width="13.140625" style="1" bestFit="1" customWidth="1"/>
    <col min="10752" max="10752" width="11.85546875" style="1" bestFit="1" customWidth="1"/>
    <col min="10753" max="10999" width="8.5703125" style="1"/>
    <col min="11000" max="11000" width="5.5703125" style="1" bestFit="1" customWidth="1"/>
    <col min="11001" max="11001" width="3.85546875" style="1" bestFit="1" customWidth="1"/>
    <col min="11002" max="11002" width="7.140625" style="1" bestFit="1" customWidth="1"/>
    <col min="11003" max="11003" width="10.85546875" style="1" bestFit="1" customWidth="1"/>
    <col min="11004" max="11004" width="35.85546875" style="1" bestFit="1" customWidth="1"/>
    <col min="11005" max="11005" width="11.85546875" style="1" bestFit="1" customWidth="1"/>
    <col min="11006" max="11006" width="12.5703125" style="1" bestFit="1" customWidth="1"/>
    <col min="11007" max="11007" width="13.140625" style="1" bestFit="1" customWidth="1"/>
    <col min="11008" max="11008" width="11.85546875" style="1" bestFit="1" customWidth="1"/>
    <col min="11009" max="11255" width="8.5703125" style="1"/>
    <col min="11256" max="11256" width="5.5703125" style="1" bestFit="1" customWidth="1"/>
    <col min="11257" max="11257" width="3.85546875" style="1" bestFit="1" customWidth="1"/>
    <col min="11258" max="11258" width="7.140625" style="1" bestFit="1" customWidth="1"/>
    <col min="11259" max="11259" width="10.85546875" style="1" bestFit="1" customWidth="1"/>
    <col min="11260" max="11260" width="35.85546875" style="1" bestFit="1" customWidth="1"/>
    <col min="11261" max="11261" width="11.85546875" style="1" bestFit="1" customWidth="1"/>
    <col min="11262" max="11262" width="12.5703125" style="1" bestFit="1" customWidth="1"/>
    <col min="11263" max="11263" width="13.140625" style="1" bestFit="1" customWidth="1"/>
    <col min="11264" max="11264" width="11.85546875" style="1" bestFit="1" customWidth="1"/>
    <col min="11265" max="11511" width="8.5703125" style="1"/>
    <col min="11512" max="11512" width="5.5703125" style="1" bestFit="1" customWidth="1"/>
    <col min="11513" max="11513" width="3.85546875" style="1" bestFit="1" customWidth="1"/>
    <col min="11514" max="11514" width="7.140625" style="1" bestFit="1" customWidth="1"/>
    <col min="11515" max="11515" width="10.85546875" style="1" bestFit="1" customWidth="1"/>
    <col min="11516" max="11516" width="35.85546875" style="1" bestFit="1" customWidth="1"/>
    <col min="11517" max="11517" width="11.85546875" style="1" bestFit="1" customWidth="1"/>
    <col min="11518" max="11518" width="12.5703125" style="1" bestFit="1" customWidth="1"/>
    <col min="11519" max="11519" width="13.140625" style="1" bestFit="1" customWidth="1"/>
    <col min="11520" max="11520" width="11.85546875" style="1" bestFit="1" customWidth="1"/>
    <col min="11521" max="11767" width="8.5703125" style="1"/>
    <col min="11768" max="11768" width="5.5703125" style="1" bestFit="1" customWidth="1"/>
    <col min="11769" max="11769" width="3.85546875" style="1" bestFit="1" customWidth="1"/>
    <col min="11770" max="11770" width="7.140625" style="1" bestFit="1" customWidth="1"/>
    <col min="11771" max="11771" width="10.85546875" style="1" bestFit="1" customWidth="1"/>
    <col min="11772" max="11772" width="35.85546875" style="1" bestFit="1" customWidth="1"/>
    <col min="11773" max="11773" width="11.85546875" style="1" bestFit="1" customWidth="1"/>
    <col min="11774" max="11774" width="12.5703125" style="1" bestFit="1" customWidth="1"/>
    <col min="11775" max="11775" width="13.140625" style="1" bestFit="1" customWidth="1"/>
    <col min="11776" max="11776" width="11.85546875" style="1" bestFit="1" customWidth="1"/>
    <col min="11777" max="12023" width="8.5703125" style="1"/>
    <col min="12024" max="12024" width="5.5703125" style="1" bestFit="1" customWidth="1"/>
    <col min="12025" max="12025" width="3.85546875" style="1" bestFit="1" customWidth="1"/>
    <col min="12026" max="12026" width="7.140625" style="1" bestFit="1" customWidth="1"/>
    <col min="12027" max="12027" width="10.85546875" style="1" bestFit="1" customWidth="1"/>
    <col min="12028" max="12028" width="35.85546875" style="1" bestFit="1" customWidth="1"/>
    <col min="12029" max="12029" width="11.85546875" style="1" bestFit="1" customWidth="1"/>
    <col min="12030" max="12030" width="12.5703125" style="1" bestFit="1" customWidth="1"/>
    <col min="12031" max="12031" width="13.140625" style="1" bestFit="1" customWidth="1"/>
    <col min="12032" max="12032" width="11.85546875" style="1" bestFit="1" customWidth="1"/>
    <col min="12033" max="12279" width="8.5703125" style="1"/>
    <col min="12280" max="12280" width="5.5703125" style="1" bestFit="1" customWidth="1"/>
    <col min="12281" max="12281" width="3.85546875" style="1" bestFit="1" customWidth="1"/>
    <col min="12282" max="12282" width="7.140625" style="1" bestFit="1" customWidth="1"/>
    <col min="12283" max="12283" width="10.85546875" style="1" bestFit="1" customWidth="1"/>
    <col min="12284" max="12284" width="35.85546875" style="1" bestFit="1" customWidth="1"/>
    <col min="12285" max="12285" width="11.85546875" style="1" bestFit="1" customWidth="1"/>
    <col min="12286" max="12286" width="12.5703125" style="1" bestFit="1" customWidth="1"/>
    <col min="12287" max="12287" width="13.140625" style="1" bestFit="1" customWidth="1"/>
    <col min="12288" max="12288" width="11.85546875" style="1" bestFit="1" customWidth="1"/>
    <col min="12289" max="12535" width="8.5703125" style="1"/>
    <col min="12536" max="12536" width="5.5703125" style="1" bestFit="1" customWidth="1"/>
    <col min="12537" max="12537" width="3.85546875" style="1" bestFit="1" customWidth="1"/>
    <col min="12538" max="12538" width="7.140625" style="1" bestFit="1" customWidth="1"/>
    <col min="12539" max="12539" width="10.85546875" style="1" bestFit="1" customWidth="1"/>
    <col min="12540" max="12540" width="35.85546875" style="1" bestFit="1" customWidth="1"/>
    <col min="12541" max="12541" width="11.85546875" style="1" bestFit="1" customWidth="1"/>
    <col min="12542" max="12542" width="12.5703125" style="1" bestFit="1" customWidth="1"/>
    <col min="12543" max="12543" width="13.140625" style="1" bestFit="1" customWidth="1"/>
    <col min="12544" max="12544" width="11.85546875" style="1" bestFit="1" customWidth="1"/>
    <col min="12545" max="12791" width="8.5703125" style="1"/>
    <col min="12792" max="12792" width="5.5703125" style="1" bestFit="1" customWidth="1"/>
    <col min="12793" max="12793" width="3.85546875" style="1" bestFit="1" customWidth="1"/>
    <col min="12794" max="12794" width="7.140625" style="1" bestFit="1" customWidth="1"/>
    <col min="12795" max="12795" width="10.85546875" style="1" bestFit="1" customWidth="1"/>
    <col min="12796" max="12796" width="35.85546875" style="1" bestFit="1" customWidth="1"/>
    <col min="12797" max="12797" width="11.85546875" style="1" bestFit="1" customWidth="1"/>
    <col min="12798" max="12798" width="12.5703125" style="1" bestFit="1" customWidth="1"/>
    <col min="12799" max="12799" width="13.140625" style="1" bestFit="1" customWidth="1"/>
    <col min="12800" max="12800" width="11.85546875" style="1" bestFit="1" customWidth="1"/>
    <col min="12801" max="13047" width="8.5703125" style="1"/>
    <col min="13048" max="13048" width="5.5703125" style="1" bestFit="1" customWidth="1"/>
    <col min="13049" max="13049" width="3.85546875" style="1" bestFit="1" customWidth="1"/>
    <col min="13050" max="13050" width="7.140625" style="1" bestFit="1" customWidth="1"/>
    <col min="13051" max="13051" width="10.85546875" style="1" bestFit="1" customWidth="1"/>
    <col min="13052" max="13052" width="35.85546875" style="1" bestFit="1" customWidth="1"/>
    <col min="13053" max="13053" width="11.85546875" style="1" bestFit="1" customWidth="1"/>
    <col min="13054" max="13054" width="12.5703125" style="1" bestFit="1" customWidth="1"/>
    <col min="13055" max="13055" width="13.140625" style="1" bestFit="1" customWidth="1"/>
    <col min="13056" max="13056" width="11.85546875" style="1" bestFit="1" customWidth="1"/>
    <col min="13057" max="13303" width="8.5703125" style="1"/>
    <col min="13304" max="13304" width="5.5703125" style="1" bestFit="1" customWidth="1"/>
    <col min="13305" max="13305" width="3.85546875" style="1" bestFit="1" customWidth="1"/>
    <col min="13306" max="13306" width="7.140625" style="1" bestFit="1" customWidth="1"/>
    <col min="13307" max="13307" width="10.85546875" style="1" bestFit="1" customWidth="1"/>
    <col min="13308" max="13308" width="35.85546875" style="1" bestFit="1" customWidth="1"/>
    <col min="13309" max="13309" width="11.85546875" style="1" bestFit="1" customWidth="1"/>
    <col min="13310" max="13310" width="12.5703125" style="1" bestFit="1" customWidth="1"/>
    <col min="13311" max="13311" width="13.140625" style="1" bestFit="1" customWidth="1"/>
    <col min="13312" max="13312" width="11.85546875" style="1" bestFit="1" customWidth="1"/>
    <col min="13313" max="13559" width="8.5703125" style="1"/>
    <col min="13560" max="13560" width="5.5703125" style="1" bestFit="1" customWidth="1"/>
    <col min="13561" max="13561" width="3.85546875" style="1" bestFit="1" customWidth="1"/>
    <col min="13562" max="13562" width="7.140625" style="1" bestFit="1" customWidth="1"/>
    <col min="13563" max="13563" width="10.85546875" style="1" bestFit="1" customWidth="1"/>
    <col min="13564" max="13564" width="35.85546875" style="1" bestFit="1" customWidth="1"/>
    <col min="13565" max="13565" width="11.85546875" style="1" bestFit="1" customWidth="1"/>
    <col min="13566" max="13566" width="12.5703125" style="1" bestFit="1" customWidth="1"/>
    <col min="13567" max="13567" width="13.140625" style="1" bestFit="1" customWidth="1"/>
    <col min="13568" max="13568" width="11.85546875" style="1" bestFit="1" customWidth="1"/>
    <col min="13569" max="13815" width="8.5703125" style="1"/>
    <col min="13816" max="13816" width="5.5703125" style="1" bestFit="1" customWidth="1"/>
    <col min="13817" max="13817" width="3.85546875" style="1" bestFit="1" customWidth="1"/>
    <col min="13818" max="13818" width="7.140625" style="1" bestFit="1" customWidth="1"/>
    <col min="13819" max="13819" width="10.85546875" style="1" bestFit="1" customWidth="1"/>
    <col min="13820" max="13820" width="35.85546875" style="1" bestFit="1" customWidth="1"/>
    <col min="13821" max="13821" width="11.85546875" style="1" bestFit="1" customWidth="1"/>
    <col min="13822" max="13822" width="12.5703125" style="1" bestFit="1" customWidth="1"/>
    <col min="13823" max="13823" width="13.140625" style="1" bestFit="1" customWidth="1"/>
    <col min="13824" max="13824" width="11.85546875" style="1" bestFit="1" customWidth="1"/>
    <col min="13825" max="14071" width="8.5703125" style="1"/>
    <col min="14072" max="14072" width="5.5703125" style="1" bestFit="1" customWidth="1"/>
    <col min="14073" max="14073" width="3.85546875" style="1" bestFit="1" customWidth="1"/>
    <col min="14074" max="14074" width="7.140625" style="1" bestFit="1" customWidth="1"/>
    <col min="14075" max="14075" width="10.85546875" style="1" bestFit="1" customWidth="1"/>
    <col min="14076" max="14076" width="35.85546875" style="1" bestFit="1" customWidth="1"/>
    <col min="14077" max="14077" width="11.85546875" style="1" bestFit="1" customWidth="1"/>
    <col min="14078" max="14078" width="12.5703125" style="1" bestFit="1" customWidth="1"/>
    <col min="14079" max="14079" width="13.140625" style="1" bestFit="1" customWidth="1"/>
    <col min="14080" max="14080" width="11.85546875" style="1" bestFit="1" customWidth="1"/>
    <col min="14081" max="14327" width="8.5703125" style="1"/>
    <col min="14328" max="14328" width="5.5703125" style="1" bestFit="1" customWidth="1"/>
    <col min="14329" max="14329" width="3.85546875" style="1" bestFit="1" customWidth="1"/>
    <col min="14330" max="14330" width="7.140625" style="1" bestFit="1" customWidth="1"/>
    <col min="14331" max="14331" width="10.85546875" style="1" bestFit="1" customWidth="1"/>
    <col min="14332" max="14332" width="35.85546875" style="1" bestFit="1" customWidth="1"/>
    <col min="14333" max="14333" width="11.85546875" style="1" bestFit="1" customWidth="1"/>
    <col min="14334" max="14334" width="12.5703125" style="1" bestFit="1" customWidth="1"/>
    <col min="14335" max="14335" width="13.140625" style="1" bestFit="1" customWidth="1"/>
    <col min="14336" max="14336" width="11.85546875" style="1" bestFit="1" customWidth="1"/>
    <col min="14337" max="14583" width="8.5703125" style="1"/>
    <col min="14584" max="14584" width="5.5703125" style="1" bestFit="1" customWidth="1"/>
    <col min="14585" max="14585" width="3.85546875" style="1" bestFit="1" customWidth="1"/>
    <col min="14586" max="14586" width="7.140625" style="1" bestFit="1" customWidth="1"/>
    <col min="14587" max="14587" width="10.85546875" style="1" bestFit="1" customWidth="1"/>
    <col min="14588" max="14588" width="35.85546875" style="1" bestFit="1" customWidth="1"/>
    <col min="14589" max="14589" width="11.85546875" style="1" bestFit="1" customWidth="1"/>
    <col min="14590" max="14590" width="12.5703125" style="1" bestFit="1" customWidth="1"/>
    <col min="14591" max="14591" width="13.140625" style="1" bestFit="1" customWidth="1"/>
    <col min="14592" max="14592" width="11.85546875" style="1" bestFit="1" customWidth="1"/>
    <col min="14593" max="14839" width="8.5703125" style="1"/>
    <col min="14840" max="14840" width="5.5703125" style="1" bestFit="1" customWidth="1"/>
    <col min="14841" max="14841" width="3.85546875" style="1" bestFit="1" customWidth="1"/>
    <col min="14842" max="14842" width="7.140625" style="1" bestFit="1" customWidth="1"/>
    <col min="14843" max="14843" width="10.85546875" style="1" bestFit="1" customWidth="1"/>
    <col min="14844" max="14844" width="35.85546875" style="1" bestFit="1" customWidth="1"/>
    <col min="14845" max="14845" width="11.85546875" style="1" bestFit="1" customWidth="1"/>
    <col min="14846" max="14846" width="12.5703125" style="1" bestFit="1" customWidth="1"/>
    <col min="14847" max="14847" width="13.140625" style="1" bestFit="1" customWidth="1"/>
    <col min="14848" max="14848" width="11.85546875" style="1" bestFit="1" customWidth="1"/>
    <col min="14849" max="15095" width="8.5703125" style="1"/>
    <col min="15096" max="15096" width="5.5703125" style="1" bestFit="1" customWidth="1"/>
    <col min="15097" max="15097" width="3.85546875" style="1" bestFit="1" customWidth="1"/>
    <col min="15098" max="15098" width="7.140625" style="1" bestFit="1" customWidth="1"/>
    <col min="15099" max="15099" width="10.85546875" style="1" bestFit="1" customWidth="1"/>
    <col min="15100" max="15100" width="35.85546875" style="1" bestFit="1" customWidth="1"/>
    <col min="15101" max="15101" width="11.85546875" style="1" bestFit="1" customWidth="1"/>
    <col min="15102" max="15102" width="12.5703125" style="1" bestFit="1" customWidth="1"/>
    <col min="15103" max="15103" width="13.140625" style="1" bestFit="1" customWidth="1"/>
    <col min="15104" max="15104" width="11.85546875" style="1" bestFit="1" customWidth="1"/>
    <col min="15105" max="15351" width="8.5703125" style="1"/>
    <col min="15352" max="15352" width="5.5703125" style="1" bestFit="1" customWidth="1"/>
    <col min="15353" max="15353" width="3.85546875" style="1" bestFit="1" customWidth="1"/>
    <col min="15354" max="15354" width="7.140625" style="1" bestFit="1" customWidth="1"/>
    <col min="15355" max="15355" width="10.85546875" style="1" bestFit="1" customWidth="1"/>
    <col min="15356" max="15356" width="35.85546875" style="1" bestFit="1" customWidth="1"/>
    <col min="15357" max="15357" width="11.85546875" style="1" bestFit="1" customWidth="1"/>
    <col min="15358" max="15358" width="12.5703125" style="1" bestFit="1" customWidth="1"/>
    <col min="15359" max="15359" width="13.140625" style="1" bestFit="1" customWidth="1"/>
    <col min="15360" max="15360" width="11.85546875" style="1" bestFit="1" customWidth="1"/>
    <col min="15361" max="15607" width="8.5703125" style="1"/>
    <col min="15608" max="15608" width="5.5703125" style="1" bestFit="1" customWidth="1"/>
    <col min="15609" max="15609" width="3.85546875" style="1" bestFit="1" customWidth="1"/>
    <col min="15610" max="15610" width="7.140625" style="1" bestFit="1" customWidth="1"/>
    <col min="15611" max="15611" width="10.85546875" style="1" bestFit="1" customWidth="1"/>
    <col min="15612" max="15612" width="35.85546875" style="1" bestFit="1" customWidth="1"/>
    <col min="15613" max="15613" width="11.85546875" style="1" bestFit="1" customWidth="1"/>
    <col min="15614" max="15614" width="12.5703125" style="1" bestFit="1" customWidth="1"/>
    <col min="15615" max="15615" width="13.140625" style="1" bestFit="1" customWidth="1"/>
    <col min="15616" max="15616" width="11.85546875" style="1" bestFit="1" customWidth="1"/>
    <col min="15617" max="15863" width="8.5703125" style="1"/>
    <col min="15864" max="15864" width="5.5703125" style="1" bestFit="1" customWidth="1"/>
    <col min="15865" max="15865" width="3.85546875" style="1" bestFit="1" customWidth="1"/>
    <col min="15866" max="15866" width="7.140625" style="1" bestFit="1" customWidth="1"/>
    <col min="15867" max="15867" width="10.85546875" style="1" bestFit="1" customWidth="1"/>
    <col min="15868" max="15868" width="35.85546875" style="1" bestFit="1" customWidth="1"/>
    <col min="15869" max="15869" width="11.85546875" style="1" bestFit="1" customWidth="1"/>
    <col min="15870" max="15870" width="12.5703125" style="1" bestFit="1" customWidth="1"/>
    <col min="15871" max="15871" width="13.140625" style="1" bestFit="1" customWidth="1"/>
    <col min="15872" max="15872" width="11.85546875" style="1" bestFit="1" customWidth="1"/>
    <col min="15873" max="16119" width="8.5703125" style="1"/>
    <col min="16120" max="16120" width="5.5703125" style="1" bestFit="1" customWidth="1"/>
    <col min="16121" max="16121" width="3.85546875" style="1" bestFit="1" customWidth="1"/>
    <col min="16122" max="16122" width="7.140625" style="1" bestFit="1" customWidth="1"/>
    <col min="16123" max="16123" width="10.85546875" style="1" bestFit="1" customWidth="1"/>
    <col min="16124" max="16124" width="35.85546875" style="1" bestFit="1" customWidth="1"/>
    <col min="16125" max="16125" width="11.85546875" style="1" bestFit="1" customWidth="1"/>
    <col min="16126" max="16126" width="12.5703125" style="1" bestFit="1" customWidth="1"/>
    <col min="16127" max="16127" width="13.140625" style="1" bestFit="1" customWidth="1"/>
    <col min="16128" max="16128" width="11.85546875" style="1" bestFit="1" customWidth="1"/>
    <col min="16129" max="16384" width="8.5703125" style="1"/>
  </cols>
  <sheetData>
    <row r="1" spans="1:11" s="5" customFormat="1">
      <c r="A1" s="3" t="s">
        <v>0</v>
      </c>
      <c r="B1" s="3" t="s">
        <v>1</v>
      </c>
      <c r="C1" s="3" t="s">
        <v>2</v>
      </c>
      <c r="D1" s="3" t="s">
        <v>3</v>
      </c>
      <c r="E1" s="3"/>
      <c r="F1" s="4" t="s">
        <v>134</v>
      </c>
      <c r="G1" s="5" t="s">
        <v>262</v>
      </c>
    </row>
    <row r="2" spans="1:11" s="9" customFormat="1">
      <c r="A2" s="6">
        <v>103</v>
      </c>
      <c r="B2" s="6">
        <v>0</v>
      </c>
      <c r="C2" s="7">
        <v>0</v>
      </c>
      <c r="D2" s="8" t="s">
        <v>8</v>
      </c>
      <c r="E2" s="8" t="s">
        <v>143</v>
      </c>
      <c r="F2" s="1" t="e">
        <v>#N/A</v>
      </c>
    </row>
    <row r="3" spans="1:11">
      <c r="A3" s="10">
        <v>103</v>
      </c>
      <c r="B3" s="10">
        <v>1</v>
      </c>
      <c r="C3" s="11">
        <v>0</v>
      </c>
      <c r="D3" s="12" t="s">
        <v>9</v>
      </c>
      <c r="E3" s="12" t="s">
        <v>144</v>
      </c>
      <c r="F3" s="1" t="e">
        <v>#N/A</v>
      </c>
      <c r="I3" s="9"/>
      <c r="J3" s="9"/>
      <c r="K3" s="9"/>
    </row>
    <row r="4" spans="1:11" ht="15">
      <c r="A4" s="14">
        <v>103</v>
      </c>
      <c r="B4" s="14">
        <v>1</v>
      </c>
      <c r="C4" s="15">
        <v>2</v>
      </c>
      <c r="D4" s="16" t="s">
        <v>10</v>
      </c>
      <c r="E4" s="16" t="s">
        <v>145</v>
      </c>
      <c r="F4" s="1" t="s">
        <v>121</v>
      </c>
      <c r="G4" s="71" t="s">
        <v>312</v>
      </c>
      <c r="I4" s="9"/>
      <c r="J4" s="9"/>
      <c r="K4" s="9"/>
    </row>
    <row r="5" spans="1:11" ht="15">
      <c r="A5" s="14">
        <v>103</v>
      </c>
      <c r="B5" s="14">
        <v>1</v>
      </c>
      <c r="C5" s="15">
        <v>5</v>
      </c>
      <c r="D5" s="16" t="s">
        <v>11</v>
      </c>
      <c r="E5" s="16" t="s">
        <v>146</v>
      </c>
      <c r="F5" s="1" t="s">
        <v>121</v>
      </c>
      <c r="G5" s="71" t="s">
        <v>312</v>
      </c>
      <c r="I5" s="9"/>
      <c r="J5" s="9"/>
      <c r="K5" s="9"/>
    </row>
    <row r="6" spans="1:11" ht="15">
      <c r="A6" s="14">
        <v>103</v>
      </c>
      <c r="B6" s="14">
        <v>1</v>
      </c>
      <c r="C6" s="15">
        <v>6</v>
      </c>
      <c r="D6" s="16" t="s">
        <v>12</v>
      </c>
      <c r="E6" s="16" t="s">
        <v>147</v>
      </c>
      <c r="F6" s="1" t="s">
        <v>121</v>
      </c>
      <c r="G6" s="71" t="s">
        <v>312</v>
      </c>
      <c r="I6" s="9"/>
      <c r="J6" s="9"/>
      <c r="K6" s="9"/>
    </row>
    <row r="7" spans="1:11" s="9" customFormat="1">
      <c r="A7" s="6">
        <v>104</v>
      </c>
      <c r="B7" s="6">
        <v>0</v>
      </c>
      <c r="C7" s="7">
        <v>0</v>
      </c>
      <c r="D7" s="8" t="s">
        <v>13</v>
      </c>
      <c r="E7" s="8" t="s">
        <v>148</v>
      </c>
      <c r="F7" s="1" t="e">
        <v>#N/A</v>
      </c>
    </row>
    <row r="8" spans="1:11">
      <c r="A8" s="10">
        <v>104</v>
      </c>
      <c r="B8" s="10">
        <v>1</v>
      </c>
      <c r="C8" s="11">
        <v>0</v>
      </c>
      <c r="D8" s="12" t="s">
        <v>9</v>
      </c>
      <c r="E8" s="12" t="s">
        <v>149</v>
      </c>
      <c r="F8" s="1" t="e">
        <v>#N/A</v>
      </c>
      <c r="I8" s="9"/>
      <c r="J8" s="9"/>
      <c r="K8" s="9"/>
    </row>
    <row r="9" spans="1:11" ht="15">
      <c r="A9" s="14">
        <v>104</v>
      </c>
      <c r="B9" s="14">
        <v>1</v>
      </c>
      <c r="C9" s="15">
        <v>1</v>
      </c>
      <c r="D9" s="16" t="s">
        <v>14</v>
      </c>
      <c r="E9" s="16" t="s">
        <v>150</v>
      </c>
      <c r="F9" s="1" t="s">
        <v>121</v>
      </c>
      <c r="G9" s="71" t="str">
        <f>+'N4 Efectivo'!$E$11</f>
        <v>Inversiones en valores realizables</v>
      </c>
      <c r="I9" s="9"/>
      <c r="J9" s="9"/>
      <c r="K9" s="9"/>
    </row>
    <row r="10" spans="1:11" ht="15">
      <c r="A10" s="14">
        <v>104</v>
      </c>
      <c r="B10" s="14">
        <v>1</v>
      </c>
      <c r="C10" s="15">
        <v>2</v>
      </c>
      <c r="D10" s="16" t="s">
        <v>15</v>
      </c>
      <c r="E10" s="16" t="s">
        <v>151</v>
      </c>
      <c r="F10" s="1" t="s">
        <v>121</v>
      </c>
      <c r="G10" s="71" t="str">
        <f>+'N4 Efectivo'!$E$11</f>
        <v>Inversiones en valores realizables</v>
      </c>
      <c r="I10" s="9"/>
      <c r="J10" s="9"/>
      <c r="K10" s="9"/>
    </row>
    <row r="11" spans="1:11" ht="15">
      <c r="A11" s="14">
        <v>104</v>
      </c>
      <c r="B11" s="14">
        <v>1</v>
      </c>
      <c r="C11" s="15">
        <v>3</v>
      </c>
      <c r="D11" s="16" t="s">
        <v>16</v>
      </c>
      <c r="E11" s="16" t="s">
        <v>152</v>
      </c>
      <c r="F11" s="1" t="s">
        <v>121</v>
      </c>
      <c r="G11" s="71" t="str">
        <f>+'N4 Efectivo'!$E$11</f>
        <v>Inversiones en valores realizables</v>
      </c>
      <c r="I11" s="9"/>
      <c r="J11" s="9"/>
      <c r="K11" s="9"/>
    </row>
    <row r="12" spans="1:11" ht="15">
      <c r="A12" s="14">
        <v>104</v>
      </c>
      <c r="B12" s="14">
        <v>1</v>
      </c>
      <c r="C12" s="15">
        <v>4</v>
      </c>
      <c r="D12" s="16" t="s">
        <v>17</v>
      </c>
      <c r="E12" s="16" t="s">
        <v>153</v>
      </c>
      <c r="F12" s="1" t="s">
        <v>121</v>
      </c>
      <c r="G12" s="71" t="str">
        <f>+'N4 Efectivo'!$E$11</f>
        <v>Inversiones en valores realizables</v>
      </c>
      <c r="I12" s="9"/>
      <c r="J12" s="9"/>
      <c r="K12" s="9"/>
    </row>
    <row r="13" spans="1:11" ht="15">
      <c r="A13" s="14">
        <v>104</v>
      </c>
      <c r="B13" s="14">
        <v>1</v>
      </c>
      <c r="C13" s="15">
        <v>5</v>
      </c>
      <c r="D13" s="16" t="s">
        <v>18</v>
      </c>
      <c r="E13" s="16" t="s">
        <v>154</v>
      </c>
      <c r="F13" s="1" t="s">
        <v>121</v>
      </c>
      <c r="G13" s="71" t="str">
        <f>+'N4 Efectivo'!$E$11</f>
        <v>Inversiones en valores realizables</v>
      </c>
      <c r="I13" s="9"/>
      <c r="J13" s="9"/>
      <c r="K13" s="9"/>
    </row>
    <row r="14" spans="1:11" ht="15">
      <c r="A14" s="14">
        <v>104</v>
      </c>
      <c r="B14" s="14">
        <v>1</v>
      </c>
      <c r="C14" s="15">
        <v>6</v>
      </c>
      <c r="D14" s="16" t="s">
        <v>19</v>
      </c>
      <c r="E14" s="16" t="s">
        <v>155</v>
      </c>
      <c r="F14" s="1" t="s">
        <v>121</v>
      </c>
      <c r="G14" s="71" t="str">
        <f>+'N4 Efectivo'!$E$11</f>
        <v>Inversiones en valores realizables</v>
      </c>
      <c r="I14" s="9"/>
      <c r="J14" s="9"/>
      <c r="K14" s="9"/>
    </row>
    <row r="15" spans="1:11" ht="15">
      <c r="A15" s="14">
        <v>104</v>
      </c>
      <c r="B15" s="14">
        <v>1</v>
      </c>
      <c r="C15" s="15">
        <v>7</v>
      </c>
      <c r="D15" s="16" t="s">
        <v>20</v>
      </c>
      <c r="E15" s="16" t="s">
        <v>156</v>
      </c>
      <c r="F15" s="1" t="s">
        <v>121</v>
      </c>
      <c r="G15" s="71" t="str">
        <f>+'N4 Efectivo'!$E$11</f>
        <v>Inversiones en valores realizables</v>
      </c>
      <c r="I15" s="9"/>
      <c r="J15" s="9"/>
      <c r="K15" s="9"/>
    </row>
    <row r="16" spans="1:11" ht="15">
      <c r="A16" s="14">
        <v>104</v>
      </c>
      <c r="B16" s="14">
        <v>1</v>
      </c>
      <c r="C16" s="15">
        <v>8</v>
      </c>
      <c r="D16" s="16" t="s">
        <v>21</v>
      </c>
      <c r="E16" s="16" t="s">
        <v>157</v>
      </c>
      <c r="F16" s="1" t="s">
        <v>121</v>
      </c>
      <c r="G16" s="71" t="str">
        <f>+'N4 Efectivo'!$E$11</f>
        <v>Inversiones en valores realizables</v>
      </c>
      <c r="I16" s="9"/>
      <c r="J16" s="9"/>
      <c r="K16" s="9"/>
    </row>
    <row r="17" spans="1:11" s="9" customFormat="1">
      <c r="A17" s="6">
        <v>108</v>
      </c>
      <c r="B17" s="6">
        <v>0</v>
      </c>
      <c r="C17" s="7">
        <v>0</v>
      </c>
      <c r="D17" s="8" t="s">
        <v>22</v>
      </c>
      <c r="E17" s="8" t="s">
        <v>158</v>
      </c>
      <c r="F17" s="1" t="e">
        <v>#N/A</v>
      </c>
    </row>
    <row r="18" spans="1:11">
      <c r="A18" s="14">
        <v>108</v>
      </c>
      <c r="B18" s="14">
        <v>1</v>
      </c>
      <c r="C18" s="15">
        <v>0</v>
      </c>
      <c r="D18" s="16" t="s">
        <v>23</v>
      </c>
      <c r="E18" s="16" t="s">
        <v>159</v>
      </c>
      <c r="F18" s="1" t="e">
        <v>#N/A</v>
      </c>
      <c r="I18" s="9"/>
      <c r="J18" s="9"/>
      <c r="K18" s="9"/>
    </row>
    <row r="19" spans="1:11" s="9" customFormat="1">
      <c r="A19" s="6">
        <v>109</v>
      </c>
      <c r="B19" s="6">
        <v>0</v>
      </c>
      <c r="C19" s="7">
        <v>0</v>
      </c>
      <c r="D19" s="8" t="s">
        <v>24</v>
      </c>
      <c r="E19" s="8" t="s">
        <v>160</v>
      </c>
      <c r="F19" s="1" t="e">
        <v>#N/A</v>
      </c>
    </row>
    <row r="20" spans="1:11">
      <c r="A20" s="14">
        <v>109</v>
      </c>
      <c r="B20" s="14">
        <v>1</v>
      </c>
      <c r="C20" s="15">
        <v>0</v>
      </c>
      <c r="D20" s="16" t="s">
        <v>25</v>
      </c>
      <c r="E20" s="16" t="s">
        <v>161</v>
      </c>
      <c r="F20" s="1" t="s">
        <v>122</v>
      </c>
      <c r="I20" s="9"/>
      <c r="J20" s="9"/>
      <c r="K20" s="9"/>
    </row>
    <row r="21" spans="1:11" s="9" customFormat="1">
      <c r="A21" s="6">
        <v>113</v>
      </c>
      <c r="B21" s="6">
        <v>0</v>
      </c>
      <c r="C21" s="7">
        <v>0</v>
      </c>
      <c r="D21" s="8" t="s">
        <v>26</v>
      </c>
      <c r="E21" s="8" t="s">
        <v>162</v>
      </c>
      <c r="F21" s="1" t="e">
        <v>#N/A</v>
      </c>
    </row>
    <row r="22" spans="1:11">
      <c r="A22" s="10">
        <v>113</v>
      </c>
      <c r="B22" s="10">
        <v>1</v>
      </c>
      <c r="C22" s="11">
        <v>0</v>
      </c>
      <c r="D22" s="12" t="s">
        <v>27</v>
      </c>
      <c r="E22" s="12" t="s">
        <v>163</v>
      </c>
      <c r="F22" s="1" t="e">
        <v>#N/A</v>
      </c>
      <c r="I22" s="9"/>
      <c r="J22" s="9"/>
      <c r="K22" s="9"/>
    </row>
    <row r="23" spans="1:11" ht="15">
      <c r="A23" s="14">
        <v>113</v>
      </c>
      <c r="B23" s="14">
        <v>1</v>
      </c>
      <c r="C23" s="15">
        <v>1</v>
      </c>
      <c r="D23" s="16" t="s">
        <v>28</v>
      </c>
      <c r="E23" s="16" t="s">
        <v>164</v>
      </c>
      <c r="F23" s="1" t="s">
        <v>123</v>
      </c>
      <c r="G23" s="150" t="s">
        <v>317</v>
      </c>
      <c r="I23" s="9"/>
      <c r="J23" s="9"/>
      <c r="K23" s="9"/>
    </row>
    <row r="24" spans="1:11" ht="15">
      <c r="A24" s="14">
        <v>113</v>
      </c>
      <c r="B24" s="14">
        <v>1</v>
      </c>
      <c r="C24" s="15">
        <v>2</v>
      </c>
      <c r="D24" s="16" t="s">
        <v>30</v>
      </c>
      <c r="E24" s="16" t="s">
        <v>165</v>
      </c>
      <c r="F24" s="1" t="s">
        <v>123</v>
      </c>
      <c r="G24" s="150" t="s">
        <v>317</v>
      </c>
      <c r="I24" s="9"/>
      <c r="J24" s="9"/>
      <c r="K24" s="9"/>
    </row>
    <row r="25" spans="1:11" s="9" customFormat="1">
      <c r="A25" s="6">
        <v>114</v>
      </c>
      <c r="B25" s="6">
        <v>0</v>
      </c>
      <c r="C25" s="7">
        <v>0</v>
      </c>
      <c r="D25" s="8" t="s">
        <v>31</v>
      </c>
      <c r="E25" s="8" t="s">
        <v>166</v>
      </c>
      <c r="F25" s="1" t="e">
        <v>#N/A</v>
      </c>
    </row>
    <row r="26" spans="1:11">
      <c r="A26" s="10">
        <v>114</v>
      </c>
      <c r="B26" s="10">
        <v>1</v>
      </c>
      <c r="C26" s="11">
        <v>0</v>
      </c>
      <c r="D26" s="12" t="s">
        <v>32</v>
      </c>
      <c r="E26" s="12" t="s">
        <v>167</v>
      </c>
      <c r="F26" s="1" t="e">
        <v>#N/A</v>
      </c>
      <c r="I26" s="9"/>
      <c r="J26" s="9"/>
      <c r="K26" s="9"/>
    </row>
    <row r="27" spans="1:11" ht="15">
      <c r="A27" s="14">
        <v>114</v>
      </c>
      <c r="B27" s="14">
        <v>1</v>
      </c>
      <c r="C27" s="15">
        <v>1</v>
      </c>
      <c r="D27" s="16" t="s">
        <v>33</v>
      </c>
      <c r="E27" s="16" t="s">
        <v>168</v>
      </c>
      <c r="F27" s="1" t="s">
        <v>709</v>
      </c>
      <c r="G27" s="150" t="s">
        <v>316</v>
      </c>
      <c r="I27" s="9"/>
      <c r="J27" s="9"/>
      <c r="K27" s="9"/>
    </row>
    <row r="28" spans="1:11" s="9" customFormat="1">
      <c r="A28" s="6">
        <v>115</v>
      </c>
      <c r="B28" s="6">
        <v>0</v>
      </c>
      <c r="C28" s="7">
        <v>0</v>
      </c>
      <c r="D28" s="8" t="s">
        <v>34</v>
      </c>
      <c r="E28" s="8" t="s">
        <v>169</v>
      </c>
      <c r="F28" s="1" t="e">
        <v>#N/A</v>
      </c>
    </row>
    <row r="29" spans="1:11">
      <c r="A29" s="10">
        <v>115</v>
      </c>
      <c r="B29" s="10">
        <v>1</v>
      </c>
      <c r="C29" s="11">
        <v>0</v>
      </c>
      <c r="D29" s="12" t="s">
        <v>35</v>
      </c>
      <c r="E29" s="12" t="s">
        <v>170</v>
      </c>
      <c r="F29" s="1" t="e">
        <v>#N/A</v>
      </c>
      <c r="I29" s="9"/>
      <c r="J29" s="9"/>
      <c r="K29" s="9"/>
    </row>
    <row r="30" spans="1:11">
      <c r="A30" s="14">
        <v>115</v>
      </c>
      <c r="B30" s="14">
        <v>1</v>
      </c>
      <c r="C30" s="15">
        <v>1</v>
      </c>
      <c r="D30" s="16" t="s">
        <v>36</v>
      </c>
      <c r="E30" s="16" t="s">
        <v>171</v>
      </c>
      <c r="F30" s="1" t="s">
        <v>122</v>
      </c>
      <c r="I30" s="9"/>
      <c r="J30" s="9"/>
      <c r="K30" s="9"/>
    </row>
    <row r="31" spans="1:11">
      <c r="A31" s="14"/>
      <c r="B31" s="14"/>
      <c r="C31" s="15"/>
      <c r="D31" s="16"/>
      <c r="E31" s="16" t="s">
        <v>536</v>
      </c>
      <c r="I31" s="9"/>
      <c r="J31" s="9"/>
      <c r="K31" s="9"/>
    </row>
    <row r="32" spans="1:11">
      <c r="A32" s="14"/>
      <c r="B32" s="14"/>
      <c r="C32" s="15"/>
      <c r="D32" s="16"/>
      <c r="E32" s="16" t="s">
        <v>537</v>
      </c>
      <c r="I32" s="9"/>
      <c r="J32" s="9"/>
      <c r="K32" s="9"/>
    </row>
    <row r="33" spans="1:11">
      <c r="A33" s="14"/>
      <c r="B33" s="14"/>
      <c r="C33" s="15"/>
      <c r="D33" s="16"/>
      <c r="E33" s="16" t="s">
        <v>538</v>
      </c>
      <c r="F33" s="1" t="s">
        <v>709</v>
      </c>
      <c r="G33" s="1" t="str">
        <f>+'N5 Inventarios Inm(Tablas)'!$B$16</f>
        <v>Otros pagos anticipados (v)</v>
      </c>
      <c r="I33" s="9"/>
      <c r="J33" s="9"/>
      <c r="K33" s="9"/>
    </row>
    <row r="34" spans="1:11" s="9" customFormat="1">
      <c r="A34" s="6">
        <v>120</v>
      </c>
      <c r="B34" s="6">
        <v>0</v>
      </c>
      <c r="C34" s="7">
        <v>0</v>
      </c>
      <c r="D34" s="8" t="s">
        <v>37</v>
      </c>
      <c r="E34" s="8" t="s">
        <v>172</v>
      </c>
      <c r="F34" s="1" t="e">
        <v>#N/A</v>
      </c>
    </row>
    <row r="35" spans="1:11">
      <c r="A35" s="14">
        <v>120</v>
      </c>
      <c r="B35" s="14">
        <v>1</v>
      </c>
      <c r="C35" s="15">
        <v>0</v>
      </c>
      <c r="D35" s="16" t="s">
        <v>38</v>
      </c>
      <c r="E35" s="16" t="s">
        <v>173</v>
      </c>
      <c r="F35" s="1" t="s">
        <v>709</v>
      </c>
      <c r="G35" s="1" t="str">
        <f>+'N5 Inventarios Inm(Tablas)'!$B$16</f>
        <v>Otros pagos anticipados (v)</v>
      </c>
      <c r="I35" s="9"/>
      <c r="J35" s="9"/>
      <c r="K35" s="9"/>
    </row>
    <row r="36" spans="1:11" s="9" customFormat="1">
      <c r="A36" s="6">
        <v>121</v>
      </c>
      <c r="B36" s="6">
        <v>0</v>
      </c>
      <c r="C36" s="7">
        <v>0</v>
      </c>
      <c r="D36" s="8" t="s">
        <v>39</v>
      </c>
      <c r="E36" s="8" t="s">
        <v>174</v>
      </c>
      <c r="F36" s="1" t="e">
        <v>#N/A</v>
      </c>
    </row>
    <row r="37" spans="1:11">
      <c r="A37" s="10">
        <v>121</v>
      </c>
      <c r="B37" s="10">
        <v>1</v>
      </c>
      <c r="C37" s="11">
        <v>0</v>
      </c>
      <c r="D37" s="12" t="s">
        <v>40</v>
      </c>
      <c r="E37" s="12" t="s">
        <v>175</v>
      </c>
      <c r="F37" s="1" t="e">
        <v>#N/A</v>
      </c>
      <c r="I37" s="9"/>
      <c r="J37" s="9"/>
      <c r="K37" s="9"/>
    </row>
    <row r="38" spans="1:11" ht="15">
      <c r="A38" s="14">
        <v>121</v>
      </c>
      <c r="B38" s="14">
        <v>1</v>
      </c>
      <c r="C38" s="15">
        <v>1</v>
      </c>
      <c r="D38" s="16" t="s">
        <v>41</v>
      </c>
      <c r="E38" s="16" t="s">
        <v>176</v>
      </c>
      <c r="F38" s="1" t="s">
        <v>709</v>
      </c>
      <c r="G38" s="71" t="str">
        <f>+'N5 Inventarios Inm(Tablas)'!$B$5</f>
        <v>Terrenos (i)</v>
      </c>
      <c r="I38" s="9"/>
      <c r="J38" s="9"/>
      <c r="K38" s="9"/>
    </row>
    <row r="39" spans="1:11" ht="15">
      <c r="A39" s="14">
        <v>121</v>
      </c>
      <c r="B39" s="14">
        <v>1</v>
      </c>
      <c r="C39" s="15">
        <v>2</v>
      </c>
      <c r="D39" s="16" t="s">
        <v>42</v>
      </c>
      <c r="E39" s="16" t="s">
        <v>177</v>
      </c>
      <c r="F39" s="1" t="s">
        <v>709</v>
      </c>
      <c r="G39" s="71" t="str">
        <f>+'N5 Inventarios Inm(Tablas)'!$B$5</f>
        <v>Terrenos (i)</v>
      </c>
      <c r="I39" s="9"/>
      <c r="J39" s="9"/>
      <c r="K39" s="9"/>
    </row>
    <row r="40" spans="1:11" ht="15">
      <c r="A40" s="14">
        <v>121</v>
      </c>
      <c r="B40" s="14">
        <v>1</v>
      </c>
      <c r="C40" s="15">
        <v>3</v>
      </c>
      <c r="D40" s="16" t="s">
        <v>43</v>
      </c>
      <c r="E40" s="16" t="s">
        <v>178</v>
      </c>
      <c r="F40" s="1" t="s">
        <v>709</v>
      </c>
      <c r="G40" s="71" t="str">
        <f>+'N5 Inventarios Inm(Tablas)'!$B$5</f>
        <v>Terrenos (i)</v>
      </c>
      <c r="I40" s="9"/>
      <c r="J40" s="9"/>
      <c r="K40" s="9"/>
    </row>
    <row r="41" spans="1:11" ht="15">
      <c r="A41" s="14">
        <v>121</v>
      </c>
      <c r="B41" s="14">
        <v>1</v>
      </c>
      <c r="C41" s="15">
        <v>4</v>
      </c>
      <c r="D41" s="16" t="s">
        <v>44</v>
      </c>
      <c r="E41" s="16" t="s">
        <v>179</v>
      </c>
      <c r="F41" s="1" t="s">
        <v>709</v>
      </c>
      <c r="G41" s="71" t="str">
        <f>+'N5 Inventarios Inm(Tablas)'!$B$5</f>
        <v>Terrenos (i)</v>
      </c>
      <c r="I41" s="9"/>
      <c r="J41" s="9"/>
      <c r="K41" s="9"/>
    </row>
    <row r="42" spans="1:11" s="9" customFormat="1">
      <c r="A42" s="6">
        <v>123</v>
      </c>
      <c r="B42" s="6">
        <v>0</v>
      </c>
      <c r="C42" s="7">
        <v>0</v>
      </c>
      <c r="D42" s="8" t="s">
        <v>45</v>
      </c>
      <c r="E42" s="8" t="s">
        <v>180</v>
      </c>
      <c r="F42" s="1" t="e">
        <v>#N/A</v>
      </c>
    </row>
    <row r="43" spans="1:11">
      <c r="A43" s="10">
        <v>123</v>
      </c>
      <c r="B43" s="10">
        <v>4</v>
      </c>
      <c r="C43" s="11">
        <v>0</v>
      </c>
      <c r="D43" s="12" t="s">
        <v>46</v>
      </c>
      <c r="E43" s="12" t="s">
        <v>181</v>
      </c>
      <c r="F43" s="1" t="e">
        <v>#N/A</v>
      </c>
      <c r="I43" s="9"/>
      <c r="J43" s="9"/>
      <c r="K43" s="9"/>
    </row>
    <row r="44" spans="1:11" ht="15">
      <c r="A44" s="14">
        <v>123</v>
      </c>
      <c r="B44" s="14">
        <v>4</v>
      </c>
      <c r="C44" s="15">
        <v>1</v>
      </c>
      <c r="D44" s="16" t="s">
        <v>47</v>
      </c>
      <c r="E44" s="16" t="s">
        <v>182</v>
      </c>
      <c r="F44" s="1" t="s">
        <v>709</v>
      </c>
      <c r="G44" s="71" t="str">
        <f>+'N5 Inventarios Inm(Tablas)'!$B$9</f>
        <v>Construcción en proceso (ii)</v>
      </c>
      <c r="I44" s="9"/>
      <c r="J44" s="9"/>
      <c r="K44" s="9"/>
    </row>
    <row r="45" spans="1:11" ht="15">
      <c r="A45" s="14">
        <v>123</v>
      </c>
      <c r="B45" s="14">
        <v>4</v>
      </c>
      <c r="C45" s="15">
        <v>25</v>
      </c>
      <c r="D45" s="16" t="s">
        <v>48</v>
      </c>
      <c r="E45" s="16" t="s">
        <v>183</v>
      </c>
      <c r="F45" s="1" t="s">
        <v>709</v>
      </c>
      <c r="G45" s="71" t="str">
        <f>+'N5 Inventarios Inm(Tablas)'!$B$9</f>
        <v>Construcción en proceso (ii)</v>
      </c>
      <c r="I45" s="9"/>
      <c r="J45" s="9"/>
      <c r="K45" s="9"/>
    </row>
    <row r="46" spans="1:11" ht="15">
      <c r="A46" s="14">
        <v>123</v>
      </c>
      <c r="B46" s="14">
        <v>4</v>
      </c>
      <c r="C46" s="15">
        <v>26</v>
      </c>
      <c r="D46" s="16" t="s">
        <v>49</v>
      </c>
      <c r="E46" s="16" t="s">
        <v>184</v>
      </c>
      <c r="F46" s="1" t="s">
        <v>709</v>
      </c>
      <c r="G46" s="71" t="str">
        <f>+'N5 Inventarios Inm(Tablas)'!$B$9</f>
        <v>Construcción en proceso (ii)</v>
      </c>
      <c r="I46" s="9"/>
      <c r="J46" s="9"/>
      <c r="K46" s="9"/>
    </row>
    <row r="47" spans="1:11">
      <c r="A47" s="10">
        <v>123</v>
      </c>
      <c r="B47" s="10">
        <v>6</v>
      </c>
      <c r="C47" s="11">
        <v>0</v>
      </c>
      <c r="D47" s="12" t="s">
        <v>50</v>
      </c>
      <c r="E47" s="12" t="s">
        <v>185</v>
      </c>
      <c r="F47" s="1" t="e">
        <v>#N/A</v>
      </c>
      <c r="I47" s="9"/>
      <c r="J47" s="9"/>
      <c r="K47" s="9"/>
    </row>
    <row r="48" spans="1:11">
      <c r="A48" s="14">
        <v>123</v>
      </c>
      <c r="B48" s="14">
        <v>6</v>
      </c>
      <c r="C48" s="15">
        <v>2</v>
      </c>
      <c r="D48" s="16" t="s">
        <v>51</v>
      </c>
      <c r="E48" s="16" t="s">
        <v>186</v>
      </c>
      <c r="F48" s="1" t="s">
        <v>709</v>
      </c>
      <c r="G48" s="1" t="str">
        <f>+'N5 Inventarios Inm(Tablas)'!$B$11</f>
        <v>Gastos administrativos y de comercialización (iv)</v>
      </c>
      <c r="I48" s="9"/>
      <c r="J48" s="9"/>
      <c r="K48" s="9"/>
    </row>
    <row r="49" spans="1:11">
      <c r="A49" s="14">
        <v>123</v>
      </c>
      <c r="B49" s="14">
        <v>6</v>
      </c>
      <c r="C49" s="15">
        <v>6</v>
      </c>
      <c r="D49" s="16" t="s">
        <v>52</v>
      </c>
      <c r="E49" s="16" t="s">
        <v>187</v>
      </c>
      <c r="F49" s="1" t="s">
        <v>709</v>
      </c>
      <c r="G49" s="1" t="str">
        <f>+'N5 Inventarios Inm(Tablas)'!$B$11</f>
        <v>Gastos administrativos y de comercialización (iv)</v>
      </c>
      <c r="I49" s="9"/>
      <c r="J49" s="9"/>
      <c r="K49" s="9"/>
    </row>
    <row r="50" spans="1:11">
      <c r="A50" s="14">
        <v>123</v>
      </c>
      <c r="B50" s="14">
        <v>6</v>
      </c>
      <c r="C50" s="15">
        <v>14</v>
      </c>
      <c r="D50" s="16" t="s">
        <v>53</v>
      </c>
      <c r="E50" s="16" t="s">
        <v>188</v>
      </c>
      <c r="F50" s="1" t="s">
        <v>709</v>
      </c>
      <c r="G50" s="1" t="str">
        <f>+'N5 Inventarios Inm(Tablas)'!$B$11</f>
        <v>Gastos administrativos y de comercialización (iv)</v>
      </c>
      <c r="I50" s="9"/>
      <c r="J50" s="9"/>
      <c r="K50" s="9"/>
    </row>
    <row r="51" spans="1:11">
      <c r="A51" s="10">
        <v>123</v>
      </c>
      <c r="B51" s="10">
        <v>7</v>
      </c>
      <c r="C51" s="11">
        <v>0</v>
      </c>
      <c r="D51" s="12" t="s">
        <v>54</v>
      </c>
      <c r="E51" s="12" t="s">
        <v>189</v>
      </c>
      <c r="F51" s="1" t="e">
        <v>#N/A</v>
      </c>
      <c r="I51" s="9"/>
      <c r="J51" s="9"/>
      <c r="K51" s="9"/>
    </row>
    <row r="52" spans="1:11" ht="30">
      <c r="A52" s="14">
        <v>123</v>
      </c>
      <c r="B52" s="14">
        <v>7</v>
      </c>
      <c r="C52" s="15">
        <v>1</v>
      </c>
      <c r="D52" s="16" t="s">
        <v>55</v>
      </c>
      <c r="E52" s="16" t="s">
        <v>190</v>
      </c>
      <c r="F52" s="1" t="s">
        <v>709</v>
      </c>
      <c r="G52" s="71" t="str">
        <f>+'N5 Inventarios Inm(Tablas)'!$B$10</f>
        <v>Gastos legales, financieros y por trámites (iii)</v>
      </c>
      <c r="I52" s="9"/>
      <c r="J52" s="9"/>
      <c r="K52" s="9"/>
    </row>
    <row r="53" spans="1:11" ht="30">
      <c r="A53" s="14">
        <v>123</v>
      </c>
      <c r="B53" s="14">
        <v>7</v>
      </c>
      <c r="C53" s="15">
        <v>2</v>
      </c>
      <c r="D53" s="16" t="s">
        <v>56</v>
      </c>
      <c r="E53" s="16" t="s">
        <v>191</v>
      </c>
      <c r="F53" s="1" t="s">
        <v>709</v>
      </c>
      <c r="G53" s="71" t="str">
        <f>+'N5 Inventarios Inm(Tablas)'!$B$10</f>
        <v>Gastos legales, financieros y por trámites (iii)</v>
      </c>
      <c r="I53" s="9"/>
      <c r="J53" s="9"/>
      <c r="K53" s="9"/>
    </row>
    <row r="54" spans="1:11" ht="30">
      <c r="A54" s="14">
        <v>123</v>
      </c>
      <c r="B54" s="14">
        <v>7</v>
      </c>
      <c r="C54" s="15">
        <v>3</v>
      </c>
      <c r="D54" s="16" t="s">
        <v>57</v>
      </c>
      <c r="E54" s="16" t="s">
        <v>192</v>
      </c>
      <c r="F54" s="1" t="s">
        <v>709</v>
      </c>
      <c r="G54" s="71" t="str">
        <f>+'N5 Inventarios Inm(Tablas)'!$B$10</f>
        <v>Gastos legales, financieros y por trámites (iii)</v>
      </c>
      <c r="I54" s="9"/>
      <c r="J54" s="9"/>
      <c r="K54" s="9"/>
    </row>
    <row r="55" spans="1:11" ht="30">
      <c r="A55" s="14">
        <v>123</v>
      </c>
      <c r="B55" s="14">
        <v>7</v>
      </c>
      <c r="C55" s="15">
        <v>4</v>
      </c>
      <c r="D55" s="16" t="s">
        <v>58</v>
      </c>
      <c r="E55" s="16" t="s">
        <v>193</v>
      </c>
      <c r="F55" s="1" t="s">
        <v>709</v>
      </c>
      <c r="G55" s="71" t="str">
        <f>+'N5 Inventarios Inm(Tablas)'!$B$10</f>
        <v>Gastos legales, financieros y por trámites (iii)</v>
      </c>
      <c r="I55" s="9"/>
      <c r="J55" s="9"/>
      <c r="K55" s="9"/>
    </row>
    <row r="56" spans="1:11" ht="30">
      <c r="A56" s="14">
        <v>123</v>
      </c>
      <c r="B56" s="14">
        <v>7</v>
      </c>
      <c r="C56" s="15">
        <v>5</v>
      </c>
      <c r="D56" s="16" t="s">
        <v>59</v>
      </c>
      <c r="E56" s="16" t="s">
        <v>194</v>
      </c>
      <c r="F56" s="1" t="s">
        <v>709</v>
      </c>
      <c r="G56" s="71" t="str">
        <f>+'N5 Inventarios Inm(Tablas)'!$B$10</f>
        <v>Gastos legales, financieros y por trámites (iii)</v>
      </c>
      <c r="I56" s="9"/>
      <c r="J56" s="9"/>
      <c r="K56" s="9"/>
    </row>
    <row r="57" spans="1:11" ht="30">
      <c r="A57" s="14">
        <v>123</v>
      </c>
      <c r="B57" s="14">
        <v>7</v>
      </c>
      <c r="C57" s="15">
        <v>6</v>
      </c>
      <c r="D57" s="16" t="s">
        <v>60</v>
      </c>
      <c r="E57" s="16" t="s">
        <v>195</v>
      </c>
      <c r="F57" s="1" t="s">
        <v>709</v>
      </c>
      <c r="G57" s="71" t="str">
        <f>+'N5 Inventarios Inm(Tablas)'!$B$10</f>
        <v>Gastos legales, financieros y por trámites (iii)</v>
      </c>
      <c r="I57" s="9"/>
      <c r="J57" s="9"/>
      <c r="K57" s="9"/>
    </row>
    <row r="58" spans="1:11" ht="30">
      <c r="A58" s="14">
        <v>123</v>
      </c>
      <c r="B58" s="14">
        <v>7</v>
      </c>
      <c r="C58" s="15">
        <v>7</v>
      </c>
      <c r="D58" s="16" t="s">
        <v>61</v>
      </c>
      <c r="E58" s="16" t="s">
        <v>196</v>
      </c>
      <c r="F58" s="1" t="s">
        <v>709</v>
      </c>
      <c r="G58" s="71" t="str">
        <f>+'N5 Inventarios Inm(Tablas)'!$B$10</f>
        <v>Gastos legales, financieros y por trámites (iii)</v>
      </c>
      <c r="I58" s="9"/>
      <c r="J58" s="9"/>
      <c r="K58" s="9"/>
    </row>
    <row r="59" spans="1:11" ht="30">
      <c r="A59" s="14">
        <v>123</v>
      </c>
      <c r="B59" s="14">
        <v>7</v>
      </c>
      <c r="C59" s="15">
        <v>8</v>
      </c>
      <c r="D59" s="16" t="s">
        <v>62</v>
      </c>
      <c r="E59" s="16" t="s">
        <v>197</v>
      </c>
      <c r="F59" s="1" t="s">
        <v>709</v>
      </c>
      <c r="G59" s="71" t="str">
        <f>+'N5 Inventarios Inm(Tablas)'!$B$10</f>
        <v>Gastos legales, financieros y por trámites (iii)</v>
      </c>
      <c r="I59" s="9"/>
      <c r="J59" s="9"/>
      <c r="K59" s="9"/>
    </row>
    <row r="60" spans="1:11" ht="30">
      <c r="A60" s="14">
        <v>123</v>
      </c>
      <c r="B60" s="14">
        <v>7</v>
      </c>
      <c r="C60" s="15">
        <v>9</v>
      </c>
      <c r="D60" s="16" t="s">
        <v>63</v>
      </c>
      <c r="E60" s="16" t="s">
        <v>198</v>
      </c>
      <c r="F60" s="1" t="s">
        <v>709</v>
      </c>
      <c r="G60" s="71" t="str">
        <f>+'N5 Inventarios Inm(Tablas)'!$B$10</f>
        <v>Gastos legales, financieros y por trámites (iii)</v>
      </c>
      <c r="I60" s="9"/>
      <c r="J60" s="9"/>
      <c r="K60" s="9"/>
    </row>
    <row r="61" spans="1:11" ht="30">
      <c r="A61" s="14">
        <v>123</v>
      </c>
      <c r="B61" s="14">
        <v>7</v>
      </c>
      <c r="C61" s="15">
        <v>10</v>
      </c>
      <c r="D61" s="16" t="s">
        <v>64</v>
      </c>
      <c r="E61" s="16" t="s">
        <v>199</v>
      </c>
      <c r="F61" s="1" t="s">
        <v>709</v>
      </c>
      <c r="G61" s="71" t="str">
        <f>+'N5 Inventarios Inm(Tablas)'!$B$10</f>
        <v>Gastos legales, financieros y por trámites (iii)</v>
      </c>
      <c r="I61" s="9"/>
      <c r="J61" s="9"/>
      <c r="K61" s="9"/>
    </row>
    <row r="62" spans="1:11" ht="30">
      <c r="A62" s="14">
        <v>123</v>
      </c>
      <c r="B62" s="14">
        <v>7</v>
      </c>
      <c r="C62" s="15">
        <v>11</v>
      </c>
      <c r="D62" s="16" t="s">
        <v>65</v>
      </c>
      <c r="E62" s="16" t="s">
        <v>200</v>
      </c>
      <c r="F62" s="1" t="s">
        <v>709</v>
      </c>
      <c r="G62" s="71" t="str">
        <f>+'N5 Inventarios Inm(Tablas)'!$B$10</f>
        <v>Gastos legales, financieros y por trámites (iii)</v>
      </c>
      <c r="I62" s="9"/>
      <c r="J62" s="9"/>
      <c r="K62" s="9"/>
    </row>
    <row r="63" spans="1:11" ht="30">
      <c r="A63" s="14">
        <v>123</v>
      </c>
      <c r="B63" s="14">
        <v>7</v>
      </c>
      <c r="C63" s="15">
        <v>12</v>
      </c>
      <c r="D63" s="16" t="s">
        <v>66</v>
      </c>
      <c r="E63" s="16" t="s">
        <v>201</v>
      </c>
      <c r="F63" s="1" t="s">
        <v>709</v>
      </c>
      <c r="G63" s="71" t="str">
        <f>+'N5 Inventarios Inm(Tablas)'!$B$10</f>
        <v>Gastos legales, financieros y por trámites (iii)</v>
      </c>
      <c r="I63" s="9"/>
      <c r="J63" s="9"/>
      <c r="K63" s="9"/>
    </row>
    <row r="64" spans="1:11" ht="30">
      <c r="A64" s="14">
        <v>123</v>
      </c>
      <c r="B64" s="14">
        <v>7</v>
      </c>
      <c r="C64" s="15">
        <v>13</v>
      </c>
      <c r="D64" s="16" t="s">
        <v>67</v>
      </c>
      <c r="E64" s="16" t="s">
        <v>202</v>
      </c>
      <c r="F64" s="1" t="s">
        <v>709</v>
      </c>
      <c r="G64" s="71" t="str">
        <f>+'N5 Inventarios Inm(Tablas)'!$B$10</f>
        <v>Gastos legales, financieros y por trámites (iii)</v>
      </c>
      <c r="I64" s="9"/>
      <c r="J64" s="9"/>
      <c r="K64" s="9"/>
    </row>
    <row r="65" spans="1:11" ht="30">
      <c r="A65" s="14">
        <v>123</v>
      </c>
      <c r="B65" s="14">
        <v>7</v>
      </c>
      <c r="C65" s="15">
        <v>18</v>
      </c>
      <c r="D65" s="16" t="s">
        <v>68</v>
      </c>
      <c r="E65" s="16" t="s">
        <v>203</v>
      </c>
      <c r="F65" s="1" t="s">
        <v>709</v>
      </c>
      <c r="G65" s="71" t="str">
        <f>+'N5 Inventarios Inm(Tablas)'!$B$10</f>
        <v>Gastos legales, financieros y por trámites (iii)</v>
      </c>
      <c r="I65" s="9"/>
      <c r="J65" s="9"/>
      <c r="K65" s="9"/>
    </row>
    <row r="66" spans="1:11" ht="15">
      <c r="A66" s="14"/>
      <c r="B66" s="14"/>
      <c r="C66" s="15"/>
      <c r="D66" s="16"/>
      <c r="E66" s="16"/>
      <c r="G66" s="71"/>
      <c r="I66" s="9"/>
      <c r="J66" s="9"/>
      <c r="K66" s="9"/>
    </row>
    <row r="67" spans="1:11">
      <c r="A67" s="10">
        <v>123</v>
      </c>
      <c r="B67" s="10">
        <v>9</v>
      </c>
      <c r="C67" s="11">
        <v>0</v>
      </c>
      <c r="D67" s="12" t="s">
        <v>69</v>
      </c>
      <c r="E67" s="12" t="s">
        <v>204</v>
      </c>
      <c r="F67" s="1" t="e">
        <v>#N/A</v>
      </c>
      <c r="I67" s="9"/>
      <c r="J67" s="9"/>
      <c r="K67" s="9"/>
    </row>
    <row r="68" spans="1:11">
      <c r="A68" s="14">
        <v>123</v>
      </c>
      <c r="B68" s="14">
        <v>9</v>
      </c>
      <c r="C68" s="15">
        <v>1</v>
      </c>
      <c r="D68" s="16" t="s">
        <v>70</v>
      </c>
      <c r="E68" s="16" t="s">
        <v>540</v>
      </c>
      <c r="F68" s="1" t="s">
        <v>709</v>
      </c>
      <c r="G68" s="1" t="str">
        <f>+'N5 Inventarios Inm(Tablas)'!$B$11</f>
        <v>Gastos administrativos y de comercialización (iv)</v>
      </c>
      <c r="I68" s="9"/>
      <c r="J68" s="9"/>
      <c r="K68" s="9"/>
    </row>
    <row r="69" spans="1:11" ht="15">
      <c r="A69" s="164"/>
      <c r="B69" s="164"/>
      <c r="C69" s="168"/>
      <c r="D69" s="167"/>
      <c r="E69" s="161" t="s">
        <v>552</v>
      </c>
      <c r="F69" s="1" t="e">
        <v>#N/A</v>
      </c>
      <c r="G69" s="163"/>
      <c r="H69" s="162"/>
      <c r="I69" s="163"/>
      <c r="J69" s="9"/>
      <c r="K69" s="9"/>
    </row>
    <row r="70" spans="1:11" ht="15">
      <c r="A70" s="164"/>
      <c r="B70" s="164"/>
      <c r="C70" s="168"/>
      <c r="D70" s="167"/>
      <c r="E70" s="161" t="s">
        <v>550</v>
      </c>
      <c r="F70" s="1" t="s">
        <v>709</v>
      </c>
      <c r="G70" s="1" t="str">
        <f>+'N5 Inventarios Inm(Tablas)'!$B$11</f>
        <v>Gastos administrativos y de comercialización (iv)</v>
      </c>
      <c r="H70" s="162"/>
      <c r="I70" s="163"/>
      <c r="J70" s="9"/>
      <c r="K70" s="9"/>
    </row>
    <row r="71" spans="1:11" ht="15">
      <c r="A71" s="164">
        <v>121</v>
      </c>
      <c r="B71" s="164">
        <v>1</v>
      </c>
      <c r="C71" s="168">
        <v>1</v>
      </c>
      <c r="D71" s="167" t="s">
        <v>450</v>
      </c>
      <c r="E71" s="161" t="s">
        <v>467</v>
      </c>
      <c r="F71" s="1" t="s">
        <v>709</v>
      </c>
      <c r="G71" s="71" t="str">
        <f>+'N5 Inventarios Inm(Tablas)'!$B$5</f>
        <v>Terrenos (i)</v>
      </c>
      <c r="H71" s="162"/>
      <c r="I71" s="163"/>
      <c r="J71" s="9"/>
      <c r="K71" s="9"/>
    </row>
    <row r="72" spans="1:11" ht="15">
      <c r="A72" s="164">
        <v>123</v>
      </c>
      <c r="B72" s="164">
        <v>4</v>
      </c>
      <c r="C72" s="168">
        <v>24</v>
      </c>
      <c r="D72" s="167" t="s">
        <v>451</v>
      </c>
      <c r="E72" s="161" t="s">
        <v>468</v>
      </c>
      <c r="F72" s="1" t="s">
        <v>709</v>
      </c>
      <c r="G72" s="71" t="str">
        <f>+'N5 Inventarios Inm(Tablas)'!$B$9</f>
        <v>Construcción en proceso (ii)</v>
      </c>
      <c r="H72" s="162"/>
      <c r="I72" s="163"/>
      <c r="J72" s="9"/>
      <c r="K72" s="9"/>
    </row>
    <row r="73" spans="1:11" ht="15">
      <c r="A73" s="164">
        <v>123</v>
      </c>
      <c r="B73" s="164">
        <v>7</v>
      </c>
      <c r="C73" s="168">
        <v>24</v>
      </c>
      <c r="D73" s="167" t="s">
        <v>105</v>
      </c>
      <c r="E73" s="161" t="s">
        <v>469</v>
      </c>
      <c r="F73" s="1" t="s">
        <v>709</v>
      </c>
      <c r="G73" s="71" t="str">
        <f>+'N5 Inventarios Inm(Tablas)'!$B$9</f>
        <v>Construcción en proceso (ii)</v>
      </c>
      <c r="H73" s="162"/>
      <c r="I73" s="163"/>
      <c r="J73" s="9"/>
      <c r="K73" s="9"/>
    </row>
    <row r="74" spans="1:11" ht="15">
      <c r="A74" s="164">
        <v>123</v>
      </c>
      <c r="B74" s="164">
        <v>7</v>
      </c>
      <c r="C74" s="168">
        <v>123</v>
      </c>
      <c r="D74" s="167" t="s">
        <v>452</v>
      </c>
      <c r="E74" s="161" t="s">
        <v>470</v>
      </c>
      <c r="F74" s="1" t="s">
        <v>709</v>
      </c>
      <c r="G74" s="71" t="str">
        <f>+'N5 Inventarios Inm(Tablas)'!$B$9</f>
        <v>Construcción en proceso (ii)</v>
      </c>
      <c r="H74" s="162"/>
      <c r="I74" s="163"/>
      <c r="J74" s="9"/>
      <c r="K74" s="9"/>
    </row>
    <row r="75" spans="1:11" s="9" customFormat="1">
      <c r="A75" s="6">
        <v>125</v>
      </c>
      <c r="B75" s="6">
        <v>0</v>
      </c>
      <c r="C75" s="7">
        <v>0</v>
      </c>
      <c r="D75" s="8" t="s">
        <v>71</v>
      </c>
      <c r="E75" s="8" t="s">
        <v>205</v>
      </c>
      <c r="F75" s="1" t="e">
        <v>#N/A</v>
      </c>
    </row>
    <row r="76" spans="1:11">
      <c r="A76" s="10">
        <v>125</v>
      </c>
      <c r="B76" s="10">
        <v>1</v>
      </c>
      <c r="C76" s="11">
        <v>0</v>
      </c>
      <c r="D76" s="12" t="s">
        <v>72</v>
      </c>
      <c r="E76" s="12" t="s">
        <v>206</v>
      </c>
      <c r="F76" s="1" t="e">
        <v>#N/A</v>
      </c>
      <c r="I76" s="9"/>
      <c r="J76" s="9"/>
      <c r="K76" s="9"/>
    </row>
    <row r="77" spans="1:11">
      <c r="A77" s="14">
        <v>125</v>
      </c>
      <c r="B77" s="14">
        <v>1</v>
      </c>
      <c r="C77" s="15">
        <v>1</v>
      </c>
      <c r="D77" s="16" t="s">
        <v>73</v>
      </c>
      <c r="E77" s="16" t="s">
        <v>207</v>
      </c>
      <c r="F77" s="162" t="s">
        <v>603</v>
      </c>
      <c r="I77" s="9"/>
      <c r="J77" s="9"/>
      <c r="K77" s="9"/>
    </row>
    <row r="78" spans="1:11">
      <c r="A78" s="14">
        <v>125</v>
      </c>
      <c r="B78" s="14">
        <v>1</v>
      </c>
      <c r="C78" s="15">
        <v>2</v>
      </c>
      <c r="D78" s="16" t="s">
        <v>74</v>
      </c>
      <c r="E78" s="16" t="s">
        <v>208</v>
      </c>
      <c r="F78" s="162" t="s">
        <v>603</v>
      </c>
      <c r="I78" s="9"/>
      <c r="J78" s="9"/>
      <c r="K78" s="9"/>
    </row>
    <row r="79" spans="1:11" ht="11.25" customHeight="1">
      <c r="A79" s="166">
        <v>124</v>
      </c>
      <c r="B79" s="166">
        <v>0</v>
      </c>
      <c r="C79" s="170">
        <v>0</v>
      </c>
      <c r="D79" s="169" t="s">
        <v>453</v>
      </c>
      <c r="E79" s="165" t="s">
        <v>471</v>
      </c>
      <c r="F79" s="162"/>
      <c r="G79" s="159"/>
      <c r="H79" s="162"/>
      <c r="I79" s="159"/>
      <c r="J79" s="9"/>
      <c r="K79" s="9"/>
    </row>
    <row r="80" spans="1:11" s="172" customFormat="1" ht="11.25" customHeight="1">
      <c r="A80" s="166">
        <v>124</v>
      </c>
      <c r="B80" s="166">
        <v>1</v>
      </c>
      <c r="C80" s="170">
        <v>0</v>
      </c>
      <c r="D80" s="169" t="s">
        <v>40</v>
      </c>
      <c r="E80" s="165" t="s">
        <v>472</v>
      </c>
      <c r="F80" s="158"/>
      <c r="G80" s="160"/>
      <c r="H80" s="158"/>
      <c r="I80" s="160"/>
      <c r="J80" s="9"/>
      <c r="K80" s="9"/>
    </row>
    <row r="81" spans="1:11">
      <c r="A81" s="164">
        <v>124</v>
      </c>
      <c r="B81" s="164">
        <v>1</v>
      </c>
      <c r="C81" s="168">
        <v>1</v>
      </c>
      <c r="D81" s="167" t="s">
        <v>454</v>
      </c>
      <c r="E81" s="161" t="s">
        <v>473</v>
      </c>
      <c r="F81" s="162" t="s">
        <v>603</v>
      </c>
      <c r="G81" s="161"/>
      <c r="H81" s="162"/>
      <c r="I81" s="161"/>
      <c r="J81" s="9"/>
      <c r="K81" s="9"/>
    </row>
    <row r="82" spans="1:11">
      <c r="A82" s="164">
        <v>124</v>
      </c>
      <c r="B82" s="164">
        <v>2</v>
      </c>
      <c r="C82" s="168">
        <v>0</v>
      </c>
      <c r="D82" s="167" t="s">
        <v>455</v>
      </c>
      <c r="E82" s="161" t="s">
        <v>474</v>
      </c>
      <c r="F82" s="162" t="s">
        <v>603</v>
      </c>
      <c r="G82" s="159"/>
      <c r="H82" s="162"/>
      <c r="I82" s="159"/>
      <c r="J82" s="9"/>
      <c r="K82" s="9"/>
    </row>
    <row r="83" spans="1:11">
      <c r="A83" s="166">
        <v>126</v>
      </c>
      <c r="B83" s="166">
        <v>0</v>
      </c>
      <c r="C83" s="170">
        <v>0</v>
      </c>
      <c r="D83" s="169" t="s">
        <v>456</v>
      </c>
      <c r="E83" s="165" t="s">
        <v>475</v>
      </c>
      <c r="F83" s="162"/>
      <c r="G83" s="159"/>
      <c r="H83" s="162"/>
      <c r="I83" s="159"/>
      <c r="J83" s="9"/>
      <c r="K83" s="9"/>
    </row>
    <row r="84" spans="1:11" s="172" customFormat="1">
      <c r="A84" s="166">
        <v>126</v>
      </c>
      <c r="B84" s="166">
        <v>1</v>
      </c>
      <c r="C84" s="170">
        <v>0</v>
      </c>
      <c r="D84" s="169" t="s">
        <v>457</v>
      </c>
      <c r="E84" s="165" t="s">
        <v>476</v>
      </c>
      <c r="F84" s="158"/>
      <c r="G84" s="160"/>
      <c r="H84" s="158"/>
      <c r="I84" s="160"/>
      <c r="J84" s="9"/>
      <c r="K84" s="9"/>
    </row>
    <row r="85" spans="1:11">
      <c r="A85" s="164">
        <v>126</v>
      </c>
      <c r="B85" s="164">
        <v>1</v>
      </c>
      <c r="C85" s="168">
        <v>1</v>
      </c>
      <c r="D85" s="167" t="s">
        <v>458</v>
      </c>
      <c r="E85" s="161" t="s">
        <v>477</v>
      </c>
      <c r="F85" s="162" t="s">
        <v>603</v>
      </c>
      <c r="G85" s="160"/>
      <c r="H85" s="162"/>
      <c r="I85" s="160"/>
      <c r="J85" s="9"/>
      <c r="K85" s="9"/>
    </row>
    <row r="86" spans="1:11">
      <c r="A86" s="164">
        <v>126</v>
      </c>
      <c r="B86" s="164">
        <v>2</v>
      </c>
      <c r="C86" s="168">
        <v>0</v>
      </c>
      <c r="D86" s="167" t="s">
        <v>459</v>
      </c>
      <c r="E86" s="161" t="s">
        <v>478</v>
      </c>
      <c r="F86" s="162" t="s">
        <v>603</v>
      </c>
      <c r="G86" s="159"/>
      <c r="H86" s="162"/>
      <c r="I86" s="159"/>
      <c r="J86" s="9"/>
      <c r="K86" s="9"/>
    </row>
    <row r="87" spans="1:11" s="9" customFormat="1">
      <c r="A87" s="6">
        <v>173</v>
      </c>
      <c r="B87" s="6">
        <v>0</v>
      </c>
      <c r="C87" s="7">
        <v>0</v>
      </c>
      <c r="D87" s="8" t="s">
        <v>75</v>
      </c>
      <c r="E87" s="8" t="s">
        <v>209</v>
      </c>
      <c r="F87" s="1" t="e">
        <v>#N/A</v>
      </c>
    </row>
    <row r="88" spans="1:11">
      <c r="A88" s="14">
        <v>173</v>
      </c>
      <c r="B88" s="14">
        <v>1</v>
      </c>
      <c r="C88" s="15">
        <v>0</v>
      </c>
      <c r="D88" s="16" t="s">
        <v>76</v>
      </c>
      <c r="E88" s="16" t="s">
        <v>210</v>
      </c>
      <c r="F88" s="1" t="s">
        <v>709</v>
      </c>
      <c r="G88" s="1" t="str">
        <f>+'N5 Inventarios Inm(Tablas)'!$B$16</f>
        <v>Otros pagos anticipados (v)</v>
      </c>
      <c r="I88" s="9"/>
      <c r="J88" s="9"/>
      <c r="K88" s="9"/>
    </row>
    <row r="89" spans="1:11" s="9" customFormat="1">
      <c r="A89" s="6">
        <v>201</v>
      </c>
      <c r="B89" s="6">
        <v>0</v>
      </c>
      <c r="C89" s="7">
        <v>0</v>
      </c>
      <c r="D89" s="8" t="s">
        <v>77</v>
      </c>
      <c r="E89" s="8" t="s">
        <v>211</v>
      </c>
      <c r="F89" s="1" t="e">
        <v>#N/A</v>
      </c>
    </row>
    <row r="90" spans="1:11">
      <c r="A90" s="14">
        <v>201</v>
      </c>
      <c r="B90" s="14">
        <v>1</v>
      </c>
      <c r="C90" s="15">
        <v>0</v>
      </c>
      <c r="D90" s="16" t="s">
        <v>78</v>
      </c>
      <c r="E90" s="16" t="s">
        <v>212</v>
      </c>
      <c r="F90" s="1" t="s">
        <v>701</v>
      </c>
      <c r="I90" s="9"/>
      <c r="J90" s="9"/>
      <c r="K90" s="9"/>
    </row>
    <row r="91" spans="1:11">
      <c r="A91" s="14">
        <v>201</v>
      </c>
      <c r="B91" s="14">
        <v>2</v>
      </c>
      <c r="C91" s="15">
        <v>0</v>
      </c>
      <c r="D91" s="16" t="s">
        <v>79</v>
      </c>
      <c r="E91" s="16" t="s">
        <v>213</v>
      </c>
      <c r="F91" s="1" t="s">
        <v>701</v>
      </c>
      <c r="I91" s="9"/>
      <c r="J91" s="9"/>
      <c r="K91" s="9"/>
    </row>
    <row r="92" spans="1:11">
      <c r="A92" s="14">
        <v>201</v>
      </c>
      <c r="B92" s="14">
        <v>200</v>
      </c>
      <c r="C92" s="15">
        <v>0</v>
      </c>
      <c r="D92" s="16" t="s">
        <v>80</v>
      </c>
      <c r="E92" s="16" t="s">
        <v>214</v>
      </c>
      <c r="F92" s="1" t="s">
        <v>701</v>
      </c>
      <c r="I92" s="9"/>
      <c r="J92" s="9"/>
      <c r="K92" s="9"/>
    </row>
    <row r="93" spans="1:11" s="9" customFormat="1">
      <c r="A93" s="6">
        <v>202</v>
      </c>
      <c r="B93" s="6">
        <v>0</v>
      </c>
      <c r="C93" s="7">
        <v>0</v>
      </c>
      <c r="D93" s="8" t="s">
        <v>81</v>
      </c>
      <c r="E93" s="8" t="s">
        <v>215</v>
      </c>
      <c r="F93" s="1" t="e">
        <v>#N/A</v>
      </c>
    </row>
    <row r="94" spans="1:11">
      <c r="A94" s="14">
        <v>202</v>
      </c>
      <c r="B94" s="14">
        <v>1</v>
      </c>
      <c r="C94" s="15">
        <v>0</v>
      </c>
      <c r="D94" s="16" t="s">
        <v>82</v>
      </c>
      <c r="E94" s="16" t="s">
        <v>216</v>
      </c>
      <c r="F94" s="1" t="s">
        <v>701</v>
      </c>
      <c r="I94" s="9"/>
      <c r="J94" s="9"/>
      <c r="K94" s="9"/>
    </row>
    <row r="95" spans="1:11" s="9" customFormat="1">
      <c r="A95" s="6">
        <v>218</v>
      </c>
      <c r="B95" s="6">
        <v>0</v>
      </c>
      <c r="C95" s="7">
        <v>0</v>
      </c>
      <c r="D95" s="8" t="s">
        <v>83</v>
      </c>
      <c r="E95" s="8" t="s">
        <v>217</v>
      </c>
      <c r="F95" s="1" t="e">
        <v>#N/A</v>
      </c>
    </row>
    <row r="96" spans="1:11">
      <c r="A96" s="10">
        <v>218</v>
      </c>
      <c r="B96" s="10">
        <v>1</v>
      </c>
      <c r="C96" s="11">
        <v>0</v>
      </c>
      <c r="D96" s="12" t="s">
        <v>27</v>
      </c>
      <c r="E96" s="12" t="s">
        <v>218</v>
      </c>
      <c r="F96" s="1" t="e">
        <v>#N/A</v>
      </c>
      <c r="I96" s="9"/>
      <c r="J96" s="9"/>
      <c r="K96" s="9"/>
    </row>
    <row r="97" spans="1:11">
      <c r="A97" s="14">
        <v>218</v>
      </c>
      <c r="B97" s="14">
        <v>1</v>
      </c>
      <c r="C97" s="15">
        <v>3</v>
      </c>
      <c r="D97" s="16" t="s">
        <v>84</v>
      </c>
      <c r="E97" s="16" t="s">
        <v>219</v>
      </c>
      <c r="F97" s="1" t="s">
        <v>126</v>
      </c>
      <c r="I97" s="9"/>
      <c r="J97" s="9"/>
      <c r="K97" s="9"/>
    </row>
    <row r="98" spans="1:11">
      <c r="A98" s="14">
        <v>218</v>
      </c>
      <c r="B98" s="14">
        <v>1</v>
      </c>
      <c r="C98" s="15">
        <v>8</v>
      </c>
      <c r="D98" s="16" t="s">
        <v>85</v>
      </c>
      <c r="E98" s="16" t="s">
        <v>220</v>
      </c>
      <c r="F98" s="1" t="s">
        <v>126</v>
      </c>
      <c r="I98" s="9"/>
      <c r="J98" s="9"/>
      <c r="K98" s="9"/>
    </row>
    <row r="99" spans="1:11">
      <c r="A99" s="10">
        <v>218</v>
      </c>
      <c r="B99" s="10">
        <v>2</v>
      </c>
      <c r="C99" s="11">
        <v>0</v>
      </c>
      <c r="D99" s="12" t="s">
        <v>29</v>
      </c>
      <c r="E99" s="12" t="s">
        <v>221</v>
      </c>
      <c r="F99" s="1" t="e">
        <v>#N/A</v>
      </c>
      <c r="I99" s="9"/>
      <c r="J99" s="9"/>
      <c r="K99" s="9"/>
    </row>
    <row r="100" spans="1:11">
      <c r="A100" s="14">
        <v>218</v>
      </c>
      <c r="B100" s="14">
        <v>2</v>
      </c>
      <c r="C100" s="15">
        <v>1</v>
      </c>
      <c r="D100" s="16" t="s">
        <v>86</v>
      </c>
      <c r="E100" s="16" t="s">
        <v>222</v>
      </c>
      <c r="F100" s="1" t="s">
        <v>126</v>
      </c>
      <c r="I100" s="9"/>
      <c r="J100" s="9"/>
      <c r="K100" s="9"/>
    </row>
    <row r="101" spans="1:11">
      <c r="A101" s="14">
        <v>218</v>
      </c>
      <c r="B101" s="14">
        <v>2</v>
      </c>
      <c r="C101" s="15">
        <v>2</v>
      </c>
      <c r="D101" s="16" t="s">
        <v>87</v>
      </c>
      <c r="E101" s="16" t="s">
        <v>223</v>
      </c>
      <c r="F101" s="1" t="s">
        <v>126</v>
      </c>
      <c r="I101" s="9"/>
      <c r="J101" s="9"/>
      <c r="K101" s="9"/>
    </row>
    <row r="102" spans="1:11">
      <c r="A102" s="14">
        <v>218</v>
      </c>
      <c r="B102" s="14">
        <v>2</v>
      </c>
      <c r="C102" s="15">
        <v>3</v>
      </c>
      <c r="D102" s="16" t="s">
        <v>88</v>
      </c>
      <c r="E102" s="16" t="s">
        <v>224</v>
      </c>
      <c r="F102" s="1" t="s">
        <v>126</v>
      </c>
      <c r="I102" s="9"/>
      <c r="J102" s="9"/>
      <c r="K102" s="9"/>
    </row>
    <row r="103" spans="1:11" s="9" customFormat="1">
      <c r="A103" s="6">
        <v>219</v>
      </c>
      <c r="B103" s="6">
        <v>0</v>
      </c>
      <c r="C103" s="7">
        <v>0</v>
      </c>
      <c r="D103" s="8" t="s">
        <v>89</v>
      </c>
      <c r="E103" s="8" t="s">
        <v>225</v>
      </c>
      <c r="F103" s="1" t="e">
        <v>#N/A</v>
      </c>
    </row>
    <row r="104" spans="1:11">
      <c r="A104" s="14">
        <v>219</v>
      </c>
      <c r="B104" s="14">
        <v>1</v>
      </c>
      <c r="C104" s="15">
        <v>0</v>
      </c>
      <c r="D104" s="16" t="s">
        <v>90</v>
      </c>
      <c r="E104" s="16" t="s">
        <v>226</v>
      </c>
      <c r="F104" s="1" t="s">
        <v>701</v>
      </c>
      <c r="I104" s="9"/>
      <c r="J104" s="9"/>
      <c r="K104" s="9"/>
    </row>
    <row r="105" spans="1:11">
      <c r="A105" s="14">
        <v>219</v>
      </c>
      <c r="B105" s="14">
        <v>1</v>
      </c>
      <c r="C105" s="15">
        <v>1</v>
      </c>
      <c r="D105" s="16" t="s">
        <v>91</v>
      </c>
      <c r="E105" s="16" t="s">
        <v>227</v>
      </c>
      <c r="F105" s="1" t="s">
        <v>701</v>
      </c>
      <c r="I105" s="9"/>
      <c r="J105" s="9"/>
      <c r="K105" s="9"/>
    </row>
    <row r="106" spans="1:11" s="9" customFormat="1">
      <c r="A106" s="6">
        <v>223</v>
      </c>
      <c r="B106" s="6">
        <v>0</v>
      </c>
      <c r="C106" s="7">
        <v>0</v>
      </c>
      <c r="D106" s="8" t="s">
        <v>92</v>
      </c>
      <c r="E106" s="8" t="s">
        <v>228</v>
      </c>
      <c r="F106" s="1" t="e">
        <v>#N/A</v>
      </c>
    </row>
    <row r="107" spans="1:11">
      <c r="A107" s="10">
        <v>223</v>
      </c>
      <c r="B107" s="10">
        <v>1</v>
      </c>
      <c r="C107" s="11">
        <v>0</v>
      </c>
      <c r="D107" s="12" t="s">
        <v>9</v>
      </c>
      <c r="E107" s="12" t="s">
        <v>229</v>
      </c>
      <c r="F107" s="1" t="e">
        <v>#N/A</v>
      </c>
      <c r="I107" s="9"/>
      <c r="J107" s="9"/>
      <c r="K107" s="9"/>
    </row>
    <row r="108" spans="1:11">
      <c r="A108" s="14">
        <v>223</v>
      </c>
      <c r="B108" s="14">
        <v>1</v>
      </c>
      <c r="C108" s="15">
        <v>1</v>
      </c>
      <c r="D108" s="16" t="s">
        <v>93</v>
      </c>
      <c r="E108" s="16" t="s">
        <v>230</v>
      </c>
      <c r="F108" s="1" t="s">
        <v>127</v>
      </c>
      <c r="G108" s="1" t="s">
        <v>127</v>
      </c>
      <c r="I108" s="9"/>
      <c r="J108" s="9"/>
      <c r="K108" s="9"/>
    </row>
    <row r="109" spans="1:11" ht="15">
      <c r="A109" s="14">
        <v>223</v>
      </c>
      <c r="B109" s="14">
        <v>1</v>
      </c>
      <c r="C109" s="15">
        <v>2</v>
      </c>
      <c r="D109" s="16" t="s">
        <v>94</v>
      </c>
      <c r="E109" s="16" t="s">
        <v>231</v>
      </c>
      <c r="F109" s="1" t="s">
        <v>128</v>
      </c>
      <c r="G109" s="150" t="s">
        <v>318</v>
      </c>
      <c r="I109" s="9"/>
      <c r="J109" s="9"/>
      <c r="K109" s="9"/>
    </row>
    <row r="110" spans="1:11" s="9" customFormat="1">
      <c r="A110" s="6">
        <v>224</v>
      </c>
      <c r="B110" s="6">
        <v>0</v>
      </c>
      <c r="C110" s="7">
        <v>0</v>
      </c>
      <c r="D110" s="8" t="s">
        <v>75</v>
      </c>
      <c r="E110" s="8" t="s">
        <v>232</v>
      </c>
      <c r="F110" s="1" t="e">
        <v>#N/A</v>
      </c>
    </row>
    <row r="111" spans="1:11" ht="15">
      <c r="A111" s="14">
        <v>224</v>
      </c>
      <c r="B111" s="14">
        <v>1</v>
      </c>
      <c r="C111" s="15">
        <v>0</v>
      </c>
      <c r="D111" s="16" t="s">
        <v>76</v>
      </c>
      <c r="E111" s="16" t="s">
        <v>233</v>
      </c>
      <c r="F111" s="1" t="s">
        <v>129</v>
      </c>
      <c r="G111" s="286" t="s">
        <v>590</v>
      </c>
      <c r="I111" s="9"/>
      <c r="J111" s="9"/>
      <c r="K111" s="9"/>
    </row>
    <row r="112" spans="1:11" s="9" customFormat="1">
      <c r="A112" s="6">
        <v>301</v>
      </c>
      <c r="B112" s="6">
        <v>0</v>
      </c>
      <c r="C112" s="7">
        <v>0</v>
      </c>
      <c r="D112" s="8" t="s">
        <v>95</v>
      </c>
      <c r="E112" s="8" t="s">
        <v>234</v>
      </c>
      <c r="F112" s="1" t="e">
        <v>#N/A</v>
      </c>
    </row>
    <row r="113" spans="1:11">
      <c r="A113" s="10">
        <v>301</v>
      </c>
      <c r="B113" s="10">
        <v>1</v>
      </c>
      <c r="C113" s="11">
        <v>0</v>
      </c>
      <c r="D113" s="12" t="s">
        <v>95</v>
      </c>
      <c r="E113" s="12" t="s">
        <v>235</v>
      </c>
      <c r="F113" s="1" t="e">
        <v>#N/A</v>
      </c>
      <c r="I113" s="9"/>
      <c r="J113" s="9"/>
      <c r="K113" s="9"/>
    </row>
    <row r="114" spans="1:11" ht="15">
      <c r="A114" s="14">
        <v>301</v>
      </c>
      <c r="B114" s="14">
        <v>1</v>
      </c>
      <c r="C114" s="15">
        <v>1</v>
      </c>
      <c r="D114" s="16" t="s">
        <v>93</v>
      </c>
      <c r="E114" s="16" t="s">
        <v>236</v>
      </c>
      <c r="F114" s="1" t="s">
        <v>130</v>
      </c>
      <c r="G114" s="69" t="s">
        <v>328</v>
      </c>
      <c r="I114" s="9"/>
      <c r="J114" s="9"/>
      <c r="K114" s="9"/>
    </row>
    <row r="115" spans="1:11" s="9" customFormat="1">
      <c r="A115" s="6">
        <v>304</v>
      </c>
      <c r="B115" s="6">
        <v>0</v>
      </c>
      <c r="C115" s="7">
        <v>0</v>
      </c>
      <c r="D115" s="8" t="s">
        <v>96</v>
      </c>
      <c r="E115" s="8" t="s">
        <v>237</v>
      </c>
      <c r="F115" s="1" t="e">
        <v>#N/A</v>
      </c>
    </row>
    <row r="116" spans="1:11">
      <c r="A116" s="14">
        <v>304</v>
      </c>
      <c r="B116" s="14">
        <v>1</v>
      </c>
      <c r="C116" s="15">
        <v>0</v>
      </c>
      <c r="D116" s="16" t="s">
        <v>96</v>
      </c>
      <c r="E116" s="16" t="s">
        <v>238</v>
      </c>
      <c r="F116" s="1" t="e">
        <v>#N/A</v>
      </c>
      <c r="I116" s="9"/>
      <c r="J116" s="9"/>
      <c r="K116" s="9"/>
    </row>
    <row r="117" spans="1:11" s="9" customFormat="1">
      <c r="A117" s="6">
        <v>305</v>
      </c>
      <c r="B117" s="6">
        <v>0</v>
      </c>
      <c r="C117" s="7">
        <v>0</v>
      </c>
      <c r="D117" s="8" t="s">
        <v>97</v>
      </c>
      <c r="E117" s="8" t="s">
        <v>239</v>
      </c>
      <c r="F117" s="1" t="e">
        <v>#N/A</v>
      </c>
    </row>
    <row r="118" spans="1:11">
      <c r="A118" s="14">
        <v>305</v>
      </c>
      <c r="B118" s="14">
        <v>1</v>
      </c>
      <c r="C118" s="15">
        <v>0</v>
      </c>
      <c r="D118" s="16" t="s">
        <v>98</v>
      </c>
      <c r="E118" s="16" t="s">
        <v>240</v>
      </c>
      <c r="F118" s="1" t="s">
        <v>131</v>
      </c>
      <c r="I118" s="9"/>
      <c r="J118" s="9"/>
      <c r="K118" s="9"/>
    </row>
    <row r="119" spans="1:11" s="9" customFormat="1">
      <c r="A119" s="6">
        <v>307</v>
      </c>
      <c r="B119" s="6">
        <v>0</v>
      </c>
      <c r="C119" s="7">
        <v>0</v>
      </c>
      <c r="D119" s="8" t="s">
        <v>99</v>
      </c>
      <c r="E119" s="8" t="s">
        <v>241</v>
      </c>
      <c r="F119" s="1" t="e">
        <v>#N/A</v>
      </c>
    </row>
    <row r="120" spans="1:11">
      <c r="A120" s="14">
        <v>307</v>
      </c>
      <c r="B120" s="14">
        <v>1</v>
      </c>
      <c r="C120" s="15">
        <v>0</v>
      </c>
      <c r="D120" s="16" t="s">
        <v>100</v>
      </c>
      <c r="E120" s="16" t="s">
        <v>242</v>
      </c>
      <c r="F120" s="1" t="s">
        <v>131</v>
      </c>
      <c r="I120" s="9"/>
      <c r="J120" s="9"/>
      <c r="K120" s="9"/>
    </row>
    <row r="121" spans="1:11">
      <c r="A121" s="14">
        <v>307</v>
      </c>
      <c r="B121" s="14">
        <v>2</v>
      </c>
      <c r="C121" s="15">
        <v>0</v>
      </c>
      <c r="D121" s="16" t="s">
        <v>101</v>
      </c>
      <c r="E121" s="16" t="s">
        <v>243</v>
      </c>
      <c r="F121" s="1" t="s">
        <v>131</v>
      </c>
      <c r="I121" s="9"/>
      <c r="J121" s="9"/>
      <c r="K121" s="9"/>
    </row>
    <row r="122" spans="1:11">
      <c r="A122" s="14">
        <v>307</v>
      </c>
      <c r="B122" s="14">
        <v>3</v>
      </c>
      <c r="C122" s="15">
        <v>0</v>
      </c>
      <c r="D122" s="16" t="s">
        <v>102</v>
      </c>
      <c r="E122" s="16" t="s">
        <v>244</v>
      </c>
      <c r="F122" s="1" t="s">
        <v>131</v>
      </c>
      <c r="I122" s="9"/>
      <c r="J122" s="9"/>
      <c r="K122" s="9"/>
    </row>
    <row r="123" spans="1:11" s="9" customFormat="1">
      <c r="A123" s="6">
        <v>407</v>
      </c>
      <c r="B123" s="6">
        <v>0</v>
      </c>
      <c r="C123" s="7">
        <v>0</v>
      </c>
      <c r="D123" s="8" t="s">
        <v>103</v>
      </c>
      <c r="E123" s="8" t="s">
        <v>245</v>
      </c>
    </row>
    <row r="124" spans="1:11">
      <c r="A124" s="14">
        <v>407</v>
      </c>
      <c r="B124" s="14">
        <v>1</v>
      </c>
      <c r="C124" s="15">
        <v>0</v>
      </c>
      <c r="D124" s="16" t="s">
        <v>103</v>
      </c>
      <c r="E124" s="16" t="s">
        <v>246</v>
      </c>
      <c r="F124" s="1" t="s">
        <v>132</v>
      </c>
      <c r="I124" s="9"/>
      <c r="J124" s="9"/>
      <c r="K124" s="9"/>
    </row>
    <row r="125" spans="1:11" s="9" customFormat="1">
      <c r="A125" s="6">
        <v>601</v>
      </c>
      <c r="B125" s="6">
        <v>0</v>
      </c>
      <c r="C125" s="7">
        <v>0</v>
      </c>
      <c r="D125" s="8" t="s">
        <v>104</v>
      </c>
      <c r="E125" s="8" t="s">
        <v>247</v>
      </c>
      <c r="F125" s="1" t="e">
        <v>#N/A</v>
      </c>
    </row>
    <row r="126" spans="1:11">
      <c r="A126" s="14">
        <v>601</v>
      </c>
      <c r="B126" s="14">
        <v>22</v>
      </c>
      <c r="C126" s="15">
        <v>0</v>
      </c>
      <c r="D126" s="16" t="s">
        <v>105</v>
      </c>
      <c r="E126" s="16" t="s">
        <v>248</v>
      </c>
      <c r="F126" s="1" t="s">
        <v>288</v>
      </c>
      <c r="I126" s="9"/>
      <c r="J126" s="9"/>
      <c r="K126" s="9"/>
    </row>
    <row r="127" spans="1:11">
      <c r="A127" s="14"/>
      <c r="B127" s="14"/>
      <c r="C127" s="15"/>
      <c r="D127" s="16"/>
      <c r="E127" s="16" t="s">
        <v>541</v>
      </c>
      <c r="F127" s="1" t="s">
        <v>288</v>
      </c>
      <c r="I127" s="9"/>
      <c r="J127" s="9"/>
      <c r="K127" s="9"/>
    </row>
    <row r="128" spans="1:11">
      <c r="A128" s="14"/>
      <c r="B128" s="14"/>
      <c r="C128" s="15"/>
      <c r="D128" s="16"/>
      <c r="E128" s="16" t="s">
        <v>542</v>
      </c>
      <c r="F128" s="1" t="s">
        <v>288</v>
      </c>
      <c r="I128" s="9"/>
      <c r="J128" s="9"/>
      <c r="K128" s="9"/>
    </row>
    <row r="129" spans="1:11">
      <c r="A129" s="14"/>
      <c r="B129" s="14"/>
      <c r="C129" s="15"/>
      <c r="D129" s="16"/>
      <c r="E129" s="16" t="s">
        <v>543</v>
      </c>
      <c r="F129" s="1" t="s">
        <v>288</v>
      </c>
      <c r="I129" s="9"/>
      <c r="J129" s="9"/>
      <c r="K129" s="9"/>
    </row>
    <row r="130" spans="1:11">
      <c r="A130" s="14"/>
      <c r="B130" s="14"/>
      <c r="C130" s="15"/>
      <c r="D130" s="16"/>
      <c r="E130" s="16" t="s">
        <v>544</v>
      </c>
      <c r="F130" s="1" t="s">
        <v>288</v>
      </c>
      <c r="I130" s="9"/>
      <c r="J130" s="9"/>
      <c r="K130" s="9"/>
    </row>
    <row r="131" spans="1:11">
      <c r="A131" s="10">
        <v>601</v>
      </c>
      <c r="B131" s="10">
        <v>101</v>
      </c>
      <c r="C131" s="11">
        <v>0</v>
      </c>
      <c r="D131" s="12" t="s">
        <v>106</v>
      </c>
      <c r="E131" s="12" t="s">
        <v>249</v>
      </c>
      <c r="F131" s="1" t="e">
        <v>#N/A</v>
      </c>
      <c r="I131" s="9"/>
      <c r="J131" s="9"/>
      <c r="K131" s="9"/>
    </row>
    <row r="132" spans="1:11">
      <c r="A132" s="14">
        <v>601</v>
      </c>
      <c r="B132" s="14">
        <v>101</v>
      </c>
      <c r="C132" s="15">
        <v>2</v>
      </c>
      <c r="D132" s="16" t="s">
        <v>107</v>
      </c>
      <c r="E132" s="16" t="s">
        <v>250</v>
      </c>
      <c r="F132" s="1" t="s">
        <v>288</v>
      </c>
      <c r="I132" s="9"/>
      <c r="J132" s="9"/>
      <c r="K132" s="9"/>
    </row>
    <row r="133" spans="1:11" s="9" customFormat="1">
      <c r="A133" s="6">
        <v>701</v>
      </c>
      <c r="B133" s="6">
        <v>0</v>
      </c>
      <c r="C133" s="7">
        <v>0</v>
      </c>
      <c r="D133" s="8" t="s">
        <v>108</v>
      </c>
      <c r="E133" s="8" t="s">
        <v>251</v>
      </c>
      <c r="F133" s="1" t="e">
        <v>#N/A</v>
      </c>
    </row>
    <row r="134" spans="1:11" ht="15">
      <c r="A134" s="14">
        <v>701</v>
      </c>
      <c r="B134" s="14">
        <v>1</v>
      </c>
      <c r="C134" s="15">
        <v>0</v>
      </c>
      <c r="D134" s="16" t="s">
        <v>109</v>
      </c>
      <c r="E134" s="16" t="s">
        <v>252</v>
      </c>
      <c r="F134" s="32" t="s">
        <v>132</v>
      </c>
      <c r="I134" s="9"/>
      <c r="J134" s="9"/>
      <c r="K134" s="9"/>
    </row>
    <row r="135" spans="1:11" ht="15">
      <c r="A135" s="14">
        <v>701</v>
      </c>
      <c r="B135" s="14">
        <v>2</v>
      </c>
      <c r="C135" s="15">
        <v>0</v>
      </c>
      <c r="D135" s="16" t="s">
        <v>110</v>
      </c>
      <c r="E135" s="16" t="s">
        <v>253</v>
      </c>
      <c r="F135" s="32" t="s">
        <v>597</v>
      </c>
      <c r="I135" s="9"/>
      <c r="J135" s="9"/>
      <c r="K135" s="9"/>
    </row>
    <row r="136" spans="1:11" s="9" customFormat="1">
      <c r="A136" s="6">
        <v>702</v>
      </c>
      <c r="B136" s="6">
        <v>0</v>
      </c>
      <c r="C136" s="7">
        <v>0</v>
      </c>
      <c r="D136" s="8" t="s">
        <v>111</v>
      </c>
      <c r="E136" s="8" t="s">
        <v>254</v>
      </c>
      <c r="F136" s="1" t="e">
        <v>#N/A</v>
      </c>
    </row>
    <row r="137" spans="1:11">
      <c r="A137" s="14">
        <v>702</v>
      </c>
      <c r="B137" s="14">
        <v>2</v>
      </c>
      <c r="C137" s="15">
        <v>0</v>
      </c>
      <c r="D137" s="16" t="s">
        <v>112</v>
      </c>
      <c r="E137" s="16" t="s">
        <v>255</v>
      </c>
      <c r="F137" s="1" t="s">
        <v>291</v>
      </c>
      <c r="I137" s="9"/>
      <c r="J137" s="9"/>
      <c r="K137" s="9"/>
    </row>
    <row r="138" spans="1:11" ht="15">
      <c r="A138" s="14">
        <v>702</v>
      </c>
      <c r="B138" s="14">
        <v>3</v>
      </c>
      <c r="C138" s="15">
        <v>0</v>
      </c>
      <c r="D138" s="16" t="s">
        <v>113</v>
      </c>
      <c r="E138" s="16" t="s">
        <v>256</v>
      </c>
      <c r="F138" s="32" t="s">
        <v>597</v>
      </c>
      <c r="I138" s="9"/>
      <c r="J138" s="9"/>
      <c r="K138" s="9"/>
    </row>
    <row r="139" spans="1:11" s="9" customFormat="1">
      <c r="A139" s="6">
        <v>751</v>
      </c>
      <c r="B139" s="6">
        <v>0</v>
      </c>
      <c r="C139" s="7">
        <v>0</v>
      </c>
      <c r="D139" s="8" t="s">
        <v>114</v>
      </c>
      <c r="E139" s="8" t="s">
        <v>257</v>
      </c>
      <c r="F139" s="1" t="e">
        <v>#N/A</v>
      </c>
    </row>
    <row r="140" spans="1:11">
      <c r="A140" s="14">
        <v>751</v>
      </c>
      <c r="B140" s="14">
        <v>2</v>
      </c>
      <c r="C140" s="15">
        <v>0</v>
      </c>
      <c r="D140" s="16" t="s">
        <v>115</v>
      </c>
      <c r="E140" s="16" t="s">
        <v>258</v>
      </c>
      <c r="F140" s="1" t="s">
        <v>133</v>
      </c>
      <c r="I140" s="9"/>
      <c r="J140" s="9"/>
      <c r="K140" s="9"/>
    </row>
    <row r="141" spans="1:11" s="9" customFormat="1">
      <c r="A141" s="6">
        <v>752</v>
      </c>
      <c r="B141" s="6">
        <v>0</v>
      </c>
      <c r="C141" s="7">
        <v>0</v>
      </c>
      <c r="D141" s="8" t="s">
        <v>116</v>
      </c>
      <c r="E141" s="8" t="s">
        <v>259</v>
      </c>
    </row>
    <row r="142" spans="1:11">
      <c r="A142" s="14">
        <v>752</v>
      </c>
      <c r="B142" s="14">
        <v>2</v>
      </c>
      <c r="C142" s="15">
        <v>0</v>
      </c>
      <c r="D142" s="16" t="s">
        <v>117</v>
      </c>
      <c r="E142" s="16" t="s">
        <v>260</v>
      </c>
      <c r="F142" s="1" t="s">
        <v>288</v>
      </c>
      <c r="I142" s="9"/>
      <c r="J142" s="9"/>
      <c r="K142" s="9"/>
    </row>
    <row r="143" spans="1:11">
      <c r="A143" s="164">
        <v>103</v>
      </c>
      <c r="B143" s="164">
        <v>1</v>
      </c>
      <c r="C143" s="168">
        <v>3</v>
      </c>
      <c r="D143" s="167" t="s">
        <v>448</v>
      </c>
      <c r="E143" s="161" t="s">
        <v>465</v>
      </c>
      <c r="F143" s="162" t="s">
        <v>121</v>
      </c>
      <c r="G143" s="162" t="s">
        <v>312</v>
      </c>
      <c r="H143" s="162"/>
      <c r="I143" s="162"/>
      <c r="J143" s="9"/>
      <c r="K143" s="9"/>
    </row>
    <row r="144" spans="1:11">
      <c r="A144" s="164">
        <v>104</v>
      </c>
      <c r="B144" s="164">
        <v>1</v>
      </c>
      <c r="C144" s="168">
        <v>5</v>
      </c>
      <c r="D144" s="167" t="s">
        <v>449</v>
      </c>
      <c r="E144" s="161" t="s">
        <v>466</v>
      </c>
      <c r="F144" s="162" t="s">
        <v>121</v>
      </c>
      <c r="G144" s="162" t="s">
        <v>313</v>
      </c>
      <c r="H144" s="162"/>
      <c r="I144" s="162"/>
      <c r="J144" s="9"/>
      <c r="K144" s="9"/>
    </row>
    <row r="145" spans="1:12">
      <c r="A145" s="166">
        <v>211</v>
      </c>
      <c r="B145" s="166">
        <v>0</v>
      </c>
      <c r="C145" s="170">
        <v>0</v>
      </c>
      <c r="D145" s="169" t="s">
        <v>460</v>
      </c>
      <c r="E145" s="165" t="s">
        <v>479</v>
      </c>
      <c r="F145" s="162"/>
      <c r="G145" s="160"/>
      <c r="H145" s="162"/>
      <c r="I145" s="160"/>
      <c r="J145" s="9"/>
      <c r="K145" s="9"/>
    </row>
    <row r="146" spans="1:12" ht="15">
      <c r="A146" s="164">
        <v>211</v>
      </c>
      <c r="B146" s="164">
        <v>1</v>
      </c>
      <c r="C146" s="168">
        <v>0</v>
      </c>
      <c r="D146" s="167" t="s">
        <v>461</v>
      </c>
      <c r="E146" s="161" t="s">
        <v>480</v>
      </c>
      <c r="F146" s="162" t="s">
        <v>129</v>
      </c>
      <c r="G146" s="286" t="s">
        <v>588</v>
      </c>
      <c r="H146" s="162"/>
      <c r="I146" s="159"/>
      <c r="J146" s="9"/>
      <c r="K146" s="9"/>
    </row>
    <row r="147" spans="1:12">
      <c r="A147" s="166">
        <v>304</v>
      </c>
      <c r="B147" s="166">
        <v>0</v>
      </c>
      <c r="C147" s="170">
        <v>0</v>
      </c>
      <c r="D147" s="169" t="s">
        <v>462</v>
      </c>
      <c r="E147" s="165" t="s">
        <v>481</v>
      </c>
      <c r="F147" s="162"/>
      <c r="G147" s="159"/>
      <c r="H147" s="162"/>
      <c r="I147" s="159"/>
      <c r="J147" s="9"/>
      <c r="K147" s="9"/>
    </row>
    <row r="148" spans="1:12">
      <c r="A148" s="164">
        <v>304</v>
      </c>
      <c r="B148" s="164">
        <v>2</v>
      </c>
      <c r="C148" s="168">
        <v>0</v>
      </c>
      <c r="D148" s="167" t="s">
        <v>463</v>
      </c>
      <c r="E148" s="161" t="s">
        <v>482</v>
      </c>
      <c r="F148" s="162" t="s">
        <v>131</v>
      </c>
      <c r="G148" s="159"/>
      <c r="H148" s="162"/>
      <c r="I148" s="159"/>
      <c r="J148" s="9"/>
      <c r="K148" s="9"/>
    </row>
    <row r="149" spans="1:12">
      <c r="A149" s="164">
        <v>601</v>
      </c>
      <c r="B149" s="164">
        <v>101</v>
      </c>
      <c r="C149" s="168">
        <v>1</v>
      </c>
      <c r="D149" s="167" t="s">
        <v>455</v>
      </c>
      <c r="E149" s="161" t="s">
        <v>483</v>
      </c>
      <c r="F149" s="162" t="s">
        <v>288</v>
      </c>
      <c r="G149" s="160"/>
      <c r="H149" s="162"/>
      <c r="I149" s="160"/>
      <c r="J149" s="9"/>
      <c r="K149" s="9"/>
    </row>
    <row r="150" spans="1:12">
      <c r="A150" s="164">
        <v>601</v>
      </c>
      <c r="B150" s="164">
        <v>101</v>
      </c>
      <c r="C150" s="168">
        <v>4</v>
      </c>
      <c r="D150" s="167" t="s">
        <v>459</v>
      </c>
      <c r="E150" s="161" t="s">
        <v>484</v>
      </c>
      <c r="F150" s="162" t="s">
        <v>288</v>
      </c>
      <c r="G150" s="159"/>
      <c r="H150" s="162"/>
      <c r="I150" s="159"/>
      <c r="J150" s="9"/>
      <c r="K150" s="9"/>
    </row>
    <row r="151" spans="1:12">
      <c r="A151" s="164">
        <v>702</v>
      </c>
      <c r="B151" s="164">
        <v>1</v>
      </c>
      <c r="C151" s="168">
        <v>0</v>
      </c>
      <c r="D151" s="167" t="s">
        <v>464</v>
      </c>
      <c r="E151" s="161" t="s">
        <v>485</v>
      </c>
      <c r="F151" s="162" t="s">
        <v>291</v>
      </c>
      <c r="G151" s="159"/>
      <c r="H151" s="162"/>
      <c r="I151" s="159"/>
      <c r="J151" s="9"/>
      <c r="K151" s="9"/>
    </row>
    <row r="152" spans="1:12">
      <c r="A152" s="164">
        <v>751</v>
      </c>
      <c r="B152" s="164">
        <v>1</v>
      </c>
      <c r="C152" s="168">
        <v>0</v>
      </c>
      <c r="D152" s="167" t="s">
        <v>293</v>
      </c>
      <c r="E152" s="161" t="s">
        <v>486</v>
      </c>
      <c r="F152" s="162" t="s">
        <v>133</v>
      </c>
      <c r="G152" s="160"/>
      <c r="H152" s="162"/>
      <c r="I152" s="160"/>
      <c r="J152" s="9"/>
      <c r="K152" s="9"/>
    </row>
    <row r="153" spans="1:12">
      <c r="A153" s="164">
        <v>752</v>
      </c>
      <c r="B153" s="164">
        <v>1</v>
      </c>
      <c r="C153" s="168">
        <v>0</v>
      </c>
      <c r="D153" s="167" t="s">
        <v>293</v>
      </c>
      <c r="E153" s="161" t="s">
        <v>487</v>
      </c>
      <c r="F153" s="162" t="s">
        <v>133</v>
      </c>
      <c r="G153" s="159"/>
      <c r="H153" s="162"/>
      <c r="I153" s="159"/>
      <c r="J153" s="9"/>
      <c r="K153" s="9"/>
    </row>
    <row r="154" spans="1:12">
      <c r="A154" s="14"/>
      <c r="B154" s="14"/>
      <c r="C154" s="318"/>
      <c r="D154" s="315"/>
      <c r="E154" s="315"/>
      <c r="F154" s="313"/>
      <c r="H154" s="313"/>
      <c r="I154" s="314"/>
      <c r="J154" s="314"/>
      <c r="K154" s="314"/>
      <c r="L154" s="313"/>
    </row>
    <row r="155" spans="1:12">
      <c r="A155" s="14"/>
      <c r="B155" s="14"/>
      <c r="C155" s="318"/>
      <c r="D155" s="315"/>
      <c r="E155" s="315"/>
      <c r="F155" s="313"/>
      <c r="H155" s="313"/>
      <c r="I155" s="314"/>
      <c r="J155" s="314"/>
      <c r="K155" s="314"/>
      <c r="L155" s="313"/>
    </row>
    <row r="156" spans="1:12">
      <c r="A156" s="14"/>
      <c r="B156" s="14"/>
      <c r="C156" s="318"/>
      <c r="D156" s="315"/>
      <c r="E156" s="315"/>
      <c r="F156" s="313"/>
      <c r="H156" s="313"/>
      <c r="I156" s="314"/>
      <c r="J156" s="314"/>
      <c r="K156" s="314"/>
      <c r="L156" s="313"/>
    </row>
    <row r="157" spans="1:12">
      <c r="A157" s="14"/>
      <c r="B157" s="14"/>
      <c r="C157" s="318"/>
      <c r="D157" s="315"/>
      <c r="E157" s="315"/>
      <c r="F157" s="313"/>
      <c r="H157" s="313"/>
      <c r="I157" s="314"/>
      <c r="J157" s="314"/>
      <c r="K157" s="314"/>
      <c r="L157" s="313"/>
    </row>
    <row r="158" spans="1:12">
      <c r="A158" s="14"/>
      <c r="B158" s="14"/>
      <c r="C158" s="318"/>
      <c r="D158" s="315"/>
      <c r="E158" s="315"/>
      <c r="F158" s="313"/>
      <c r="H158" s="313"/>
      <c r="I158" s="314"/>
      <c r="J158" s="314"/>
      <c r="K158" s="314"/>
      <c r="L158" s="313"/>
    </row>
    <row r="159" spans="1:12">
      <c r="A159" s="14"/>
      <c r="B159" s="14"/>
      <c r="C159" s="318"/>
      <c r="D159" s="315"/>
      <c r="E159" s="315"/>
      <c r="F159" s="313"/>
      <c r="H159" s="313"/>
      <c r="I159" s="314"/>
      <c r="J159" s="314"/>
      <c r="K159" s="314"/>
      <c r="L159" s="313"/>
    </row>
    <row r="160" spans="1:12">
      <c r="A160" s="14"/>
      <c r="B160" s="14"/>
      <c r="C160" s="318"/>
      <c r="D160" s="315"/>
      <c r="E160" s="315"/>
      <c r="F160" s="313"/>
      <c r="H160" s="313"/>
      <c r="I160" s="314"/>
      <c r="J160" s="314"/>
      <c r="K160" s="314"/>
      <c r="L160" s="313"/>
    </row>
    <row r="161" spans="1:12">
      <c r="A161" s="14"/>
      <c r="B161" s="14"/>
      <c r="C161" s="318"/>
      <c r="D161" s="315"/>
      <c r="E161" s="315"/>
      <c r="F161" s="313"/>
      <c r="H161" s="313"/>
      <c r="I161" s="314"/>
      <c r="J161" s="314"/>
      <c r="K161" s="314"/>
      <c r="L161" s="313"/>
    </row>
    <row r="162" spans="1:12">
      <c r="A162" s="14"/>
      <c r="B162" s="14"/>
      <c r="C162" s="318"/>
      <c r="D162" s="315"/>
      <c r="E162" s="315"/>
      <c r="F162" s="313"/>
      <c r="H162" s="313"/>
      <c r="I162" s="314"/>
      <c r="J162" s="314"/>
      <c r="K162" s="314"/>
      <c r="L162" s="313"/>
    </row>
    <row r="163" spans="1:12">
      <c r="A163" s="14"/>
      <c r="B163" s="14"/>
      <c r="C163" s="318"/>
      <c r="D163" s="315"/>
      <c r="E163" s="315"/>
      <c r="F163" s="313"/>
      <c r="H163" s="313"/>
      <c r="I163" s="314"/>
      <c r="J163" s="314"/>
      <c r="K163" s="314"/>
      <c r="L163" s="313"/>
    </row>
    <row r="164" spans="1:12">
      <c r="A164" s="14"/>
      <c r="B164" s="14"/>
      <c r="C164" s="318"/>
      <c r="D164" s="315"/>
      <c r="E164" s="315"/>
      <c r="F164" s="313"/>
      <c r="H164" s="313"/>
      <c r="I164" s="314"/>
      <c r="J164" s="314"/>
      <c r="K164" s="314"/>
      <c r="L164" s="313"/>
    </row>
    <row r="165" spans="1:12">
      <c r="A165" s="14"/>
      <c r="B165" s="14"/>
      <c r="C165" s="318"/>
      <c r="D165" s="315"/>
      <c r="E165" s="315"/>
      <c r="F165" s="313"/>
      <c r="H165" s="313"/>
      <c r="I165" s="314"/>
      <c r="J165" s="314"/>
      <c r="K165" s="314"/>
      <c r="L165" s="313"/>
    </row>
    <row r="166" spans="1:12">
      <c r="A166" s="14"/>
      <c r="B166" s="14"/>
      <c r="C166" s="318"/>
      <c r="D166" s="315"/>
      <c r="E166" s="315"/>
      <c r="F166" s="313"/>
      <c r="H166" s="313"/>
      <c r="I166" s="314"/>
      <c r="J166" s="314"/>
      <c r="K166" s="314"/>
      <c r="L166" s="313"/>
    </row>
    <row r="167" spans="1:12">
      <c r="A167" s="14"/>
      <c r="B167" s="14"/>
      <c r="C167" s="318"/>
      <c r="D167" s="315"/>
      <c r="E167" s="315"/>
      <c r="F167" s="313"/>
      <c r="H167" s="313"/>
      <c r="I167" s="314"/>
      <c r="J167" s="314"/>
      <c r="K167" s="314"/>
      <c r="L167" s="313"/>
    </row>
    <row r="168" spans="1:12">
      <c r="A168" s="14"/>
      <c r="B168" s="14"/>
      <c r="C168" s="318"/>
      <c r="D168" s="315"/>
      <c r="E168" s="315"/>
      <c r="F168" s="313"/>
      <c r="H168" s="313"/>
      <c r="I168" s="314"/>
      <c r="J168" s="314"/>
      <c r="K168" s="314"/>
      <c r="L168" s="313"/>
    </row>
    <row r="169" spans="1:12">
      <c r="A169" s="14"/>
      <c r="B169" s="14"/>
      <c r="C169" s="318"/>
      <c r="D169" s="315"/>
      <c r="E169" s="315"/>
      <c r="F169" s="313"/>
      <c r="H169" s="313"/>
      <c r="I169" s="314"/>
      <c r="J169" s="314"/>
      <c r="K169" s="314"/>
      <c r="L169" s="313"/>
    </row>
    <row r="170" spans="1:12">
      <c r="A170" s="14"/>
      <c r="B170" s="14"/>
      <c r="C170" s="318"/>
      <c r="D170" s="315"/>
      <c r="E170" s="315"/>
      <c r="F170" s="313"/>
      <c r="H170" s="313"/>
      <c r="I170" s="314"/>
      <c r="J170" s="314"/>
      <c r="K170" s="314"/>
      <c r="L170" s="313"/>
    </row>
    <row r="171" spans="1:12">
      <c r="A171" s="14"/>
      <c r="B171" s="14"/>
      <c r="C171" s="318"/>
      <c r="D171" s="315"/>
      <c r="E171" s="315"/>
      <c r="F171" s="313"/>
      <c r="H171" s="313"/>
      <c r="I171" s="314"/>
      <c r="J171" s="314"/>
      <c r="K171" s="314"/>
      <c r="L171" s="313"/>
    </row>
    <row r="172" spans="1:12">
      <c r="A172" s="14"/>
      <c r="B172" s="14"/>
      <c r="C172" s="318"/>
      <c r="D172" s="315"/>
      <c r="E172" s="315"/>
      <c r="F172" s="313"/>
      <c r="H172" s="313"/>
      <c r="I172" s="314"/>
      <c r="J172" s="314"/>
      <c r="K172" s="314"/>
      <c r="L172" s="313"/>
    </row>
    <row r="173" spans="1:12">
      <c r="A173" s="18"/>
      <c r="B173" s="18"/>
      <c r="C173" s="316" t="s">
        <v>118</v>
      </c>
      <c r="D173" s="316"/>
      <c r="E173" s="316"/>
      <c r="F173" s="313"/>
      <c r="H173" s="313"/>
      <c r="I173" s="313"/>
      <c r="J173" s="313"/>
      <c r="K173" s="313"/>
      <c r="L173" s="313"/>
    </row>
    <row r="174" spans="1:12">
      <c r="A174" s="18"/>
      <c r="B174" s="19"/>
      <c r="C174" s="319"/>
      <c r="D174" s="317"/>
      <c r="E174" s="317"/>
      <c r="F174" s="313"/>
      <c r="H174" s="313"/>
      <c r="I174" s="313"/>
      <c r="J174" s="313"/>
      <c r="K174" s="313"/>
      <c r="L174" s="313"/>
    </row>
    <row r="175" spans="1:12">
      <c r="C175" s="320"/>
      <c r="D175" s="313"/>
      <c r="E175" s="313"/>
      <c r="F175" s="313"/>
      <c r="H175" s="313"/>
      <c r="I175" s="313"/>
      <c r="J175" s="313"/>
      <c r="K175" s="313"/>
      <c r="L175" s="313"/>
    </row>
    <row r="176" spans="1:12">
      <c r="C176" s="320"/>
      <c r="D176" s="313"/>
      <c r="E176" s="313"/>
      <c r="F176" s="313"/>
      <c r="H176" s="313"/>
      <c r="I176" s="313"/>
      <c r="J176" s="313"/>
      <c r="K176" s="313"/>
      <c r="L176" s="313"/>
    </row>
    <row r="177" spans="1:14">
      <c r="C177" s="320"/>
      <c r="D177" s="313"/>
      <c r="E177" s="313"/>
      <c r="F177" s="313"/>
      <c r="H177" s="313"/>
      <c r="I177" s="313"/>
      <c r="J177" s="313"/>
      <c r="K177" s="313"/>
      <c r="L177" s="313"/>
    </row>
    <row r="178" spans="1:14">
      <c r="C178" s="320"/>
      <c r="D178" s="313"/>
      <c r="E178" s="313"/>
      <c r="F178" s="313"/>
      <c r="H178" s="313"/>
      <c r="I178" s="313"/>
      <c r="J178" s="313"/>
      <c r="K178" s="313"/>
      <c r="L178" s="313"/>
    </row>
    <row r="179" spans="1:14">
      <c r="C179" s="313"/>
      <c r="D179" s="313"/>
      <c r="E179" s="313"/>
      <c r="F179" s="313"/>
      <c r="H179" s="313"/>
      <c r="I179" s="313"/>
      <c r="J179" s="313"/>
      <c r="K179" s="313"/>
      <c r="L179" s="313"/>
    </row>
    <row r="180" spans="1:14">
      <c r="C180" s="313"/>
      <c r="D180" s="313"/>
      <c r="E180" s="313"/>
      <c r="F180" s="313"/>
      <c r="H180" s="313"/>
      <c r="I180" s="313"/>
      <c r="J180" s="313"/>
      <c r="K180" s="313"/>
      <c r="L180" s="313"/>
    </row>
    <row r="181" spans="1:14">
      <c r="C181" s="313"/>
      <c r="D181" s="313"/>
      <c r="E181" s="313"/>
      <c r="F181" s="313"/>
      <c r="H181" s="313"/>
      <c r="I181" s="313"/>
      <c r="J181" s="313"/>
      <c r="K181" s="313"/>
      <c r="L181" s="313"/>
    </row>
    <row r="182" spans="1:14">
      <c r="C182" s="313"/>
      <c r="D182" s="313"/>
      <c r="E182" s="313"/>
      <c r="F182" s="313"/>
      <c r="H182" s="313"/>
      <c r="I182" s="313"/>
      <c r="J182" s="313"/>
      <c r="K182" s="313"/>
      <c r="L182" s="313"/>
    </row>
    <row r="183" spans="1:14">
      <c r="C183" s="313"/>
      <c r="D183" s="313"/>
      <c r="E183" s="313"/>
      <c r="F183" s="313"/>
      <c r="H183" s="313"/>
      <c r="I183" s="313"/>
      <c r="J183" s="313"/>
      <c r="K183" s="313"/>
      <c r="L183" s="313"/>
    </row>
    <row r="184" spans="1:14">
      <c r="C184" s="313"/>
      <c r="D184" s="313"/>
      <c r="E184" s="313"/>
      <c r="F184" s="313"/>
      <c r="H184" s="313"/>
      <c r="I184" s="313"/>
      <c r="J184" s="313"/>
      <c r="K184" s="313"/>
      <c r="L184" s="313"/>
    </row>
    <row r="185" spans="1:14">
      <c r="C185" s="313"/>
      <c r="D185" s="313"/>
      <c r="E185" s="313"/>
      <c r="F185" s="313"/>
      <c r="H185" s="313"/>
      <c r="I185" s="313"/>
      <c r="J185" s="313"/>
      <c r="K185" s="313"/>
      <c r="L185" s="313"/>
    </row>
    <row r="186" spans="1:14">
      <c r="C186" s="313"/>
      <c r="D186" s="313"/>
      <c r="E186" s="313"/>
      <c r="F186" s="313"/>
      <c r="H186" s="313"/>
      <c r="I186" s="313"/>
      <c r="J186" s="313"/>
      <c r="K186" s="313"/>
      <c r="L186" s="313"/>
    </row>
    <row r="187" spans="1:14">
      <c r="C187" s="313"/>
      <c r="D187" s="313"/>
      <c r="E187" s="313"/>
      <c r="F187" s="313"/>
      <c r="H187" s="313"/>
      <c r="I187" s="313"/>
      <c r="J187" s="313"/>
      <c r="K187" s="313"/>
      <c r="L187" s="313"/>
    </row>
    <row r="188" spans="1:14" s="2" customFormat="1">
      <c r="A188" s="1"/>
      <c r="B188" s="1"/>
      <c r="C188" s="313"/>
      <c r="D188" s="313"/>
      <c r="E188" s="313"/>
      <c r="F188" s="313"/>
      <c r="G188" s="1"/>
      <c r="H188" s="313"/>
      <c r="I188" s="313"/>
      <c r="J188" s="313"/>
      <c r="K188" s="313"/>
      <c r="L188" s="313"/>
      <c r="M188" s="1"/>
      <c r="N188" s="1"/>
    </row>
    <row r="189" spans="1:14" s="2" customFormat="1">
      <c r="A189" s="1"/>
      <c r="B189" s="1"/>
      <c r="C189" s="313"/>
      <c r="D189" s="313"/>
      <c r="E189" s="313"/>
      <c r="F189" s="313"/>
      <c r="G189" s="1"/>
      <c r="H189" s="313"/>
      <c r="I189" s="313"/>
      <c r="J189" s="313"/>
      <c r="K189" s="313"/>
      <c r="L189" s="313"/>
      <c r="M189" s="1"/>
      <c r="N189" s="1"/>
    </row>
    <row r="190" spans="1:14" s="2" customFormat="1">
      <c r="A190" s="1"/>
      <c r="B190" s="1"/>
      <c r="C190" s="313"/>
      <c r="D190" s="313"/>
      <c r="E190" s="313"/>
      <c r="F190" s="313"/>
      <c r="G190" s="1"/>
      <c r="H190" s="313"/>
      <c r="I190" s="313"/>
      <c r="J190" s="313"/>
      <c r="K190" s="313"/>
      <c r="L190" s="313"/>
      <c r="M190" s="1"/>
      <c r="N190" s="1"/>
    </row>
    <row r="191" spans="1:14" s="2" customFormat="1">
      <c r="A191" s="1"/>
      <c r="B191" s="1"/>
      <c r="C191" s="313"/>
      <c r="D191" s="313"/>
      <c r="E191" s="313"/>
      <c r="F191" s="313"/>
      <c r="G191" s="1"/>
      <c r="H191" s="313"/>
      <c r="I191" s="313"/>
      <c r="J191" s="313"/>
      <c r="K191" s="313"/>
      <c r="L191" s="313"/>
      <c r="M191" s="1"/>
      <c r="N191" s="1"/>
    </row>
    <row r="192" spans="1:14" s="2" customFormat="1">
      <c r="A192" s="1"/>
      <c r="B192" s="1"/>
      <c r="C192" s="313"/>
      <c r="D192" s="313"/>
      <c r="E192" s="313"/>
      <c r="F192" s="313"/>
      <c r="G192" s="1"/>
      <c r="H192" s="313"/>
      <c r="I192" s="313"/>
      <c r="J192" s="313"/>
      <c r="K192" s="313"/>
      <c r="L192" s="313"/>
      <c r="M192" s="1"/>
      <c r="N192" s="1"/>
    </row>
    <row r="193" spans="1:14" s="2" customFormat="1">
      <c r="A193" s="1"/>
      <c r="B193" s="1"/>
      <c r="C193" s="313"/>
      <c r="D193" s="313"/>
      <c r="E193" s="313"/>
      <c r="F193" s="313"/>
      <c r="G193" s="1"/>
      <c r="H193" s="313"/>
      <c r="I193" s="313"/>
      <c r="J193" s="313"/>
      <c r="K193" s="313"/>
      <c r="L193" s="313"/>
      <c r="M193" s="1"/>
      <c r="N193" s="1"/>
    </row>
    <row r="194" spans="1:14" s="2" customFormat="1">
      <c r="A194" s="1"/>
      <c r="B194" s="1"/>
      <c r="C194" s="313"/>
      <c r="D194" s="313"/>
      <c r="E194" s="313"/>
      <c r="F194" s="313"/>
      <c r="G194" s="1"/>
      <c r="H194" s="313"/>
      <c r="I194" s="313"/>
      <c r="J194" s="313"/>
      <c r="K194" s="313"/>
      <c r="L194" s="313"/>
      <c r="M194" s="1"/>
      <c r="N194" s="1"/>
    </row>
    <row r="195" spans="1:14" s="2" customFormat="1">
      <c r="A195" s="1"/>
      <c r="B195" s="1"/>
      <c r="C195" s="313"/>
      <c r="D195" s="313"/>
      <c r="E195" s="313"/>
      <c r="F195" s="313"/>
      <c r="G195" s="1"/>
      <c r="H195" s="313"/>
      <c r="I195" s="313"/>
      <c r="J195" s="313"/>
      <c r="K195" s="313"/>
      <c r="L195" s="313"/>
      <c r="M195" s="1"/>
      <c r="N195" s="1"/>
    </row>
    <row r="196" spans="1:14" s="2" customFormat="1">
      <c r="A196" s="1"/>
      <c r="B196" s="1"/>
      <c r="C196" s="313"/>
      <c r="D196" s="313"/>
      <c r="E196" s="313"/>
      <c r="F196" s="313"/>
      <c r="G196" s="1"/>
      <c r="H196" s="313"/>
      <c r="I196" s="313"/>
      <c r="J196" s="313"/>
      <c r="K196" s="313"/>
      <c r="L196" s="313"/>
      <c r="M196" s="1"/>
      <c r="N196" s="1"/>
    </row>
    <row r="197" spans="1:14" s="2" customFormat="1">
      <c r="A197" s="1"/>
      <c r="B197" s="1"/>
      <c r="C197" s="313"/>
      <c r="D197" s="313"/>
      <c r="E197" s="313"/>
      <c r="F197" s="313"/>
      <c r="G197" s="1"/>
      <c r="H197" s="313"/>
      <c r="I197" s="313"/>
      <c r="J197" s="313"/>
      <c r="K197" s="313"/>
      <c r="L197" s="313"/>
      <c r="M197" s="1"/>
      <c r="N197" s="1"/>
    </row>
    <row r="198" spans="1:14" s="2" customFormat="1">
      <c r="A198" s="1"/>
      <c r="B198" s="1"/>
      <c r="C198" s="313"/>
      <c r="D198" s="313"/>
      <c r="E198" s="313"/>
      <c r="F198" s="313"/>
      <c r="G198" s="1"/>
      <c r="H198" s="313"/>
      <c r="I198" s="313"/>
      <c r="J198" s="313"/>
      <c r="K198" s="313"/>
      <c r="L198" s="313"/>
      <c r="M198" s="1"/>
      <c r="N198" s="1"/>
    </row>
    <row r="199" spans="1:14" s="2" customFormat="1">
      <c r="A199" s="1"/>
      <c r="B199" s="1"/>
      <c r="C199" s="313"/>
      <c r="D199" s="313"/>
      <c r="E199" s="313"/>
      <c r="F199" s="313"/>
      <c r="G199" s="1"/>
      <c r="H199" s="313"/>
      <c r="I199" s="313"/>
      <c r="J199" s="313"/>
      <c r="K199" s="313"/>
      <c r="L199" s="313"/>
      <c r="M199" s="1"/>
      <c r="N199" s="1"/>
    </row>
    <row r="200" spans="1:14" s="2" customFormat="1">
      <c r="A200" s="1"/>
      <c r="B200" s="1"/>
      <c r="C200" s="313"/>
      <c r="D200" s="313"/>
      <c r="E200" s="313"/>
      <c r="F200" s="313"/>
      <c r="G200" s="1"/>
      <c r="H200" s="313"/>
      <c r="I200" s="313"/>
      <c r="J200" s="313"/>
      <c r="K200" s="313"/>
      <c r="L200" s="313"/>
      <c r="M200" s="1"/>
      <c r="N200" s="1"/>
    </row>
    <row r="201" spans="1:14" s="2" customFormat="1">
      <c r="A201" s="1"/>
      <c r="B201" s="1"/>
      <c r="C201" s="313"/>
      <c r="D201" s="313"/>
      <c r="E201" s="313"/>
      <c r="F201" s="313"/>
      <c r="G201" s="1"/>
      <c r="H201" s="313"/>
      <c r="I201" s="313"/>
      <c r="J201" s="313"/>
      <c r="K201" s="313"/>
      <c r="L201" s="313"/>
      <c r="M201" s="1"/>
      <c r="N201" s="1"/>
    </row>
    <row r="202" spans="1:14" s="2" customFormat="1">
      <c r="A202" s="1"/>
      <c r="B202" s="1"/>
      <c r="C202" s="313"/>
      <c r="D202" s="313"/>
      <c r="E202" s="313"/>
      <c r="F202" s="313"/>
      <c r="G202" s="1"/>
      <c r="H202" s="313"/>
      <c r="I202" s="313"/>
      <c r="J202" s="313"/>
      <c r="K202" s="313"/>
      <c r="L202" s="313"/>
      <c r="M202" s="1"/>
      <c r="N202" s="1"/>
    </row>
    <row r="203" spans="1:14" s="2" customFormat="1">
      <c r="A203" s="1"/>
      <c r="B203" s="1"/>
      <c r="C203" s="313"/>
      <c r="D203" s="313"/>
      <c r="E203" s="313"/>
      <c r="F203" s="313"/>
      <c r="G203" s="1"/>
      <c r="H203" s="313"/>
      <c r="I203" s="313"/>
      <c r="J203" s="313"/>
      <c r="K203" s="313"/>
      <c r="L203" s="313"/>
      <c r="M203" s="1"/>
      <c r="N203" s="1"/>
    </row>
    <row r="204" spans="1:14" s="2" customFormat="1">
      <c r="A204" s="1"/>
      <c r="B204" s="1"/>
      <c r="C204" s="313"/>
      <c r="D204" s="313"/>
      <c r="E204" s="313"/>
      <c r="F204" s="313"/>
      <c r="G204" s="1"/>
      <c r="H204" s="313"/>
      <c r="I204" s="313"/>
      <c r="J204" s="313"/>
      <c r="K204" s="313"/>
      <c r="L204" s="313"/>
      <c r="M204" s="1"/>
      <c r="N204" s="1"/>
    </row>
    <row r="205" spans="1:14" s="2" customFormat="1">
      <c r="A205" s="1"/>
      <c r="B205" s="1"/>
      <c r="C205" s="313"/>
      <c r="D205" s="313"/>
      <c r="E205" s="313"/>
      <c r="F205" s="313"/>
      <c r="G205" s="1"/>
      <c r="H205" s="313"/>
      <c r="I205" s="313"/>
      <c r="J205" s="313"/>
      <c r="K205" s="313"/>
      <c r="L205" s="313"/>
      <c r="M205" s="1"/>
      <c r="N205" s="1"/>
    </row>
    <row r="206" spans="1:14" s="2" customFormat="1">
      <c r="A206" s="1"/>
      <c r="B206" s="1"/>
      <c r="C206" s="313"/>
      <c r="D206" s="313"/>
      <c r="E206" s="313"/>
      <c r="F206" s="313"/>
      <c r="G206" s="1"/>
      <c r="H206" s="313"/>
      <c r="I206" s="313"/>
      <c r="J206" s="313"/>
      <c r="K206" s="313"/>
      <c r="L206" s="313"/>
      <c r="M206" s="1"/>
      <c r="N206" s="1"/>
    </row>
    <row r="207" spans="1:14" s="2" customFormat="1">
      <c r="A207" s="1"/>
      <c r="B207" s="1"/>
      <c r="C207" s="313"/>
      <c r="D207" s="313"/>
      <c r="E207" s="313"/>
      <c r="F207" s="313"/>
      <c r="G207" s="1"/>
      <c r="H207" s="313"/>
      <c r="I207" s="313"/>
      <c r="J207" s="313"/>
      <c r="K207" s="313"/>
      <c r="L207" s="313"/>
      <c r="M207" s="1"/>
      <c r="N207" s="1"/>
    </row>
    <row r="208" spans="1:14" s="2" customFormat="1">
      <c r="A208" s="1"/>
      <c r="B208" s="1"/>
      <c r="C208" s="313"/>
      <c r="D208" s="313"/>
      <c r="E208" s="313"/>
      <c r="F208" s="313"/>
      <c r="G208" s="1"/>
      <c r="H208" s="313"/>
      <c r="I208" s="313"/>
      <c r="J208" s="313"/>
      <c r="K208" s="313"/>
      <c r="L208" s="313"/>
      <c r="M208" s="1"/>
      <c r="N208" s="1"/>
    </row>
    <row r="209" spans="1:14" s="2" customFormat="1">
      <c r="A209" s="1"/>
      <c r="B209" s="1"/>
      <c r="C209" s="313"/>
      <c r="D209" s="313"/>
      <c r="E209" s="313"/>
      <c r="F209" s="313"/>
      <c r="G209" s="1"/>
      <c r="H209" s="313"/>
      <c r="I209" s="313"/>
      <c r="J209" s="313"/>
      <c r="K209" s="313"/>
      <c r="L209" s="313"/>
      <c r="M209" s="1"/>
      <c r="N209" s="1"/>
    </row>
    <row r="210" spans="1:14" s="2" customFormat="1">
      <c r="A210" s="1"/>
      <c r="B210" s="1"/>
      <c r="C210" s="313"/>
      <c r="D210" s="313"/>
      <c r="E210" s="313"/>
      <c r="F210" s="313"/>
      <c r="G210" s="1"/>
      <c r="H210" s="313"/>
      <c r="I210" s="313"/>
      <c r="J210" s="313"/>
      <c r="K210" s="313"/>
      <c r="L210" s="313"/>
      <c r="M210" s="1"/>
      <c r="N210" s="1"/>
    </row>
    <row r="211" spans="1:14" s="2" customFormat="1">
      <c r="A211" s="1"/>
      <c r="B211" s="1"/>
      <c r="C211" s="313"/>
      <c r="D211" s="313"/>
      <c r="E211" s="313"/>
      <c r="F211" s="313"/>
      <c r="G211" s="1"/>
      <c r="H211" s="313"/>
      <c r="I211" s="313"/>
      <c r="J211" s="313"/>
      <c r="K211" s="313"/>
      <c r="L211" s="313"/>
      <c r="M211" s="1"/>
      <c r="N211" s="1"/>
    </row>
    <row r="212" spans="1:14" s="2" customFormat="1">
      <c r="A212" s="1"/>
      <c r="B212" s="1"/>
      <c r="C212" s="313"/>
      <c r="D212" s="313"/>
      <c r="E212" s="313"/>
      <c r="F212" s="313"/>
      <c r="G212" s="1"/>
      <c r="H212" s="313"/>
      <c r="I212" s="313"/>
      <c r="J212" s="313"/>
      <c r="K212" s="313"/>
      <c r="L212" s="313"/>
      <c r="M212" s="1"/>
      <c r="N212" s="1"/>
    </row>
    <row r="213" spans="1:14" s="2" customFormat="1">
      <c r="A213" s="1"/>
      <c r="B213" s="1"/>
      <c r="C213" s="313"/>
      <c r="D213" s="313"/>
      <c r="E213" s="313"/>
      <c r="F213" s="313"/>
      <c r="G213" s="1"/>
      <c r="H213" s="313"/>
      <c r="I213" s="313"/>
      <c r="J213" s="313"/>
      <c r="K213" s="313"/>
      <c r="L213" s="313"/>
      <c r="M213" s="1"/>
      <c r="N213" s="1"/>
    </row>
    <row r="214" spans="1:14" s="2" customFormat="1">
      <c r="A214" s="1"/>
      <c r="B214" s="1"/>
      <c r="C214" s="313"/>
      <c r="D214" s="313"/>
      <c r="E214" s="313"/>
      <c r="F214" s="313"/>
      <c r="G214" s="1"/>
      <c r="H214" s="313"/>
      <c r="I214" s="313"/>
      <c r="J214" s="313"/>
      <c r="K214" s="313"/>
      <c r="L214" s="313"/>
      <c r="M214" s="1"/>
      <c r="N214" s="1"/>
    </row>
    <row r="215" spans="1:14" s="2" customFormat="1">
      <c r="A215" s="1"/>
      <c r="B215" s="1"/>
      <c r="C215" s="313"/>
      <c r="D215" s="313"/>
      <c r="E215" s="313"/>
      <c r="F215" s="313"/>
      <c r="G215" s="1"/>
      <c r="H215" s="313"/>
      <c r="I215" s="313"/>
      <c r="J215" s="313"/>
      <c r="K215" s="313"/>
      <c r="L215" s="313"/>
      <c r="M215" s="1"/>
      <c r="N215" s="1"/>
    </row>
    <row r="216" spans="1:14" s="2" customFormat="1">
      <c r="A216" s="1"/>
      <c r="B216" s="1"/>
      <c r="C216" s="313"/>
      <c r="D216" s="313"/>
      <c r="E216" s="313"/>
      <c r="F216" s="313"/>
      <c r="G216" s="1"/>
      <c r="H216" s="313"/>
      <c r="I216" s="313"/>
      <c r="J216" s="313"/>
      <c r="K216" s="313"/>
      <c r="L216" s="313"/>
      <c r="M216" s="1"/>
      <c r="N216" s="1"/>
    </row>
    <row r="217" spans="1:14" s="2" customFormat="1">
      <c r="A217" s="1"/>
      <c r="B217" s="1"/>
      <c r="C217" s="313"/>
      <c r="D217" s="313"/>
      <c r="E217" s="313"/>
      <c r="F217" s="313"/>
      <c r="G217" s="1"/>
      <c r="H217" s="313"/>
      <c r="I217" s="313"/>
      <c r="J217" s="313"/>
      <c r="K217" s="313"/>
      <c r="L217" s="313"/>
      <c r="M217" s="1"/>
      <c r="N217" s="1"/>
    </row>
    <row r="218" spans="1:14" s="2" customFormat="1">
      <c r="A218" s="1"/>
      <c r="B218" s="1"/>
      <c r="C218" s="313"/>
      <c r="D218" s="313"/>
      <c r="E218" s="313"/>
      <c r="F218" s="313"/>
      <c r="G218" s="1"/>
      <c r="H218" s="313"/>
      <c r="I218" s="313"/>
      <c r="J218" s="313"/>
      <c r="K218" s="313"/>
      <c r="L218" s="313"/>
      <c r="M218" s="1"/>
      <c r="N218" s="1"/>
    </row>
    <row r="219" spans="1:14" s="2" customFormat="1">
      <c r="A219" s="1"/>
      <c r="B219" s="1"/>
      <c r="C219" s="313"/>
      <c r="D219" s="313"/>
      <c r="E219" s="313"/>
      <c r="F219" s="313"/>
      <c r="G219" s="1"/>
      <c r="H219" s="313"/>
      <c r="I219" s="313"/>
      <c r="J219" s="313"/>
      <c r="K219" s="313"/>
      <c r="L219" s="313"/>
      <c r="M219" s="1"/>
      <c r="N219" s="1"/>
    </row>
    <row r="220" spans="1:14" s="2" customFormat="1">
      <c r="A220" s="1"/>
      <c r="B220" s="1"/>
      <c r="C220" s="313"/>
      <c r="D220" s="313"/>
      <c r="E220" s="313"/>
      <c r="F220" s="313"/>
      <c r="G220" s="1"/>
      <c r="H220" s="313"/>
      <c r="I220" s="313"/>
      <c r="J220" s="313"/>
      <c r="K220" s="313"/>
      <c r="L220" s="313"/>
      <c r="M220" s="1"/>
      <c r="N220" s="1"/>
    </row>
    <row r="221" spans="1:14" s="2" customFormat="1">
      <c r="A221" s="1"/>
      <c r="B221" s="1"/>
      <c r="C221" s="313"/>
      <c r="D221" s="313"/>
      <c r="E221" s="313"/>
      <c r="F221" s="313"/>
      <c r="G221" s="1"/>
      <c r="H221" s="313"/>
      <c r="I221" s="313"/>
      <c r="J221" s="313"/>
      <c r="K221" s="313"/>
      <c r="L221" s="313"/>
      <c r="M221" s="1"/>
      <c r="N221" s="1"/>
    </row>
    <row r="222" spans="1:14" s="2" customFormat="1">
      <c r="A222" s="1"/>
      <c r="B222" s="1"/>
      <c r="C222" s="313"/>
      <c r="D222" s="313"/>
      <c r="E222" s="313"/>
      <c r="F222" s="313"/>
      <c r="G222" s="1"/>
      <c r="H222" s="313"/>
      <c r="I222" s="313"/>
      <c r="J222" s="313"/>
      <c r="K222" s="313"/>
      <c r="L222" s="313"/>
      <c r="M222" s="1"/>
      <c r="N222" s="1"/>
    </row>
    <row r="223" spans="1:14" s="2" customFormat="1">
      <c r="A223" s="1"/>
      <c r="B223" s="1"/>
      <c r="C223" s="313"/>
      <c r="D223" s="313"/>
      <c r="E223" s="313"/>
      <c r="F223" s="313"/>
      <c r="G223" s="1"/>
      <c r="H223" s="313"/>
      <c r="I223" s="313"/>
      <c r="J223" s="313"/>
      <c r="K223" s="313"/>
      <c r="L223" s="313"/>
      <c r="M223" s="1"/>
      <c r="N223" s="1"/>
    </row>
    <row r="224" spans="1:14" s="2" customFormat="1">
      <c r="A224" s="1"/>
      <c r="B224" s="1"/>
      <c r="C224" s="313"/>
      <c r="D224" s="313"/>
      <c r="E224" s="313"/>
      <c r="F224" s="313"/>
      <c r="G224" s="1"/>
      <c r="H224" s="313"/>
      <c r="I224" s="313"/>
      <c r="J224" s="313"/>
      <c r="K224" s="313"/>
      <c r="L224" s="313"/>
      <c r="M224" s="1"/>
      <c r="N224" s="1"/>
    </row>
    <row r="225" spans="1:14" s="2" customFormat="1">
      <c r="A225" s="1"/>
      <c r="B225" s="1"/>
      <c r="C225" s="313"/>
      <c r="D225" s="313"/>
      <c r="E225" s="313"/>
      <c r="F225" s="313"/>
      <c r="G225" s="1"/>
      <c r="H225" s="313"/>
      <c r="I225" s="313"/>
      <c r="J225" s="313"/>
      <c r="K225" s="313"/>
      <c r="L225" s="313"/>
      <c r="M225" s="1"/>
      <c r="N225" s="1"/>
    </row>
    <row r="226" spans="1:14" s="2" customFormat="1">
      <c r="A226" s="1"/>
      <c r="B226" s="1"/>
      <c r="C226" s="313"/>
      <c r="D226" s="313"/>
      <c r="E226" s="313"/>
      <c r="F226" s="313"/>
      <c r="G226" s="1"/>
      <c r="H226" s="313"/>
      <c r="I226" s="313"/>
      <c r="J226" s="313"/>
      <c r="K226" s="313"/>
      <c r="L226" s="313"/>
      <c r="M226" s="1"/>
      <c r="N226" s="1"/>
    </row>
    <row r="227" spans="1:14" s="2" customFormat="1">
      <c r="A227" s="1"/>
      <c r="B227" s="1"/>
      <c r="C227" s="313"/>
      <c r="D227" s="313"/>
      <c r="E227" s="313"/>
      <c r="F227" s="313"/>
      <c r="G227" s="1"/>
      <c r="H227" s="313"/>
      <c r="I227" s="313"/>
      <c r="J227" s="313"/>
      <c r="K227" s="313"/>
      <c r="L227" s="313"/>
      <c r="M227" s="1"/>
      <c r="N227" s="1"/>
    </row>
    <row r="228" spans="1:14" s="2" customFormat="1">
      <c r="A228" s="1"/>
      <c r="B228" s="1"/>
      <c r="C228" s="313"/>
      <c r="D228" s="313"/>
      <c r="E228" s="313"/>
      <c r="F228" s="313"/>
      <c r="G228" s="1"/>
      <c r="H228" s="313"/>
      <c r="I228" s="313"/>
      <c r="J228" s="313"/>
      <c r="K228" s="313"/>
      <c r="L228" s="313"/>
      <c r="M228" s="1"/>
      <c r="N228" s="1"/>
    </row>
    <row r="229" spans="1:14" s="2" customFormat="1">
      <c r="A229" s="1"/>
      <c r="B229" s="1"/>
      <c r="C229" s="313"/>
      <c r="D229" s="313"/>
      <c r="E229" s="313"/>
      <c r="F229" s="313"/>
      <c r="G229" s="1"/>
      <c r="H229" s="313"/>
      <c r="I229" s="313"/>
      <c r="J229" s="313"/>
      <c r="K229" s="313"/>
      <c r="L229" s="313"/>
      <c r="M229" s="1"/>
      <c r="N229" s="1"/>
    </row>
    <row r="230" spans="1:14" s="2" customFormat="1">
      <c r="A230" s="1"/>
      <c r="B230" s="1"/>
      <c r="C230" s="313"/>
      <c r="D230" s="313"/>
      <c r="E230" s="313"/>
      <c r="F230" s="313"/>
      <c r="G230" s="1"/>
      <c r="H230" s="313"/>
      <c r="I230" s="313"/>
      <c r="J230" s="313"/>
      <c r="K230" s="313"/>
      <c r="L230" s="313"/>
      <c r="M230" s="1"/>
      <c r="N230" s="1"/>
    </row>
    <row r="231" spans="1:14" s="2" customFormat="1">
      <c r="A231" s="1"/>
      <c r="B231" s="1"/>
      <c r="C231" s="313"/>
      <c r="D231" s="313"/>
      <c r="E231" s="313"/>
      <c r="F231" s="313"/>
      <c r="G231" s="1"/>
      <c r="H231" s="313"/>
      <c r="I231" s="313"/>
      <c r="J231" s="313"/>
      <c r="K231" s="313"/>
      <c r="L231" s="313"/>
      <c r="M231" s="1"/>
      <c r="N231" s="1"/>
    </row>
    <row r="232" spans="1:14" s="2" customFormat="1">
      <c r="A232" s="1"/>
      <c r="B232" s="1"/>
      <c r="C232" s="313"/>
      <c r="D232" s="313"/>
      <c r="E232" s="313"/>
      <c r="F232" s="313"/>
      <c r="G232" s="1"/>
      <c r="H232" s="313"/>
      <c r="I232" s="313"/>
      <c r="J232" s="313"/>
      <c r="K232" s="313"/>
      <c r="L232" s="313"/>
      <c r="M232" s="1"/>
      <c r="N232" s="1"/>
    </row>
    <row r="233" spans="1:14" s="2" customFormat="1">
      <c r="A233" s="1"/>
      <c r="B233" s="1"/>
      <c r="C233" s="313"/>
      <c r="D233" s="313"/>
      <c r="E233" s="313"/>
      <c r="F233" s="313"/>
      <c r="G233" s="1"/>
      <c r="H233" s="313"/>
      <c r="I233" s="313"/>
      <c r="J233" s="313"/>
      <c r="K233" s="313"/>
      <c r="L233" s="313"/>
      <c r="M233" s="1"/>
      <c r="N233" s="1"/>
    </row>
    <row r="234" spans="1:14" s="2" customFormat="1">
      <c r="A234" s="1"/>
      <c r="B234" s="1"/>
      <c r="C234" s="313"/>
      <c r="D234" s="313"/>
      <c r="E234" s="313"/>
      <c r="F234" s="313"/>
      <c r="G234" s="1"/>
      <c r="H234" s="313"/>
      <c r="I234" s="313"/>
      <c r="J234" s="313"/>
      <c r="K234" s="313"/>
      <c r="L234" s="313"/>
      <c r="M234" s="1"/>
      <c r="N234" s="1"/>
    </row>
    <row r="235" spans="1:14" s="2" customFormat="1">
      <c r="A235" s="1"/>
      <c r="B235" s="1"/>
      <c r="C235" s="313"/>
      <c r="D235" s="313"/>
      <c r="E235" s="313"/>
      <c r="F235" s="313"/>
      <c r="G235" s="1"/>
      <c r="H235" s="313"/>
      <c r="I235" s="313"/>
      <c r="J235" s="313"/>
      <c r="K235" s="313"/>
      <c r="L235" s="313"/>
      <c r="M235" s="1"/>
      <c r="N235" s="1"/>
    </row>
    <row r="236" spans="1:14" s="2" customFormat="1">
      <c r="A236" s="1"/>
      <c r="B236" s="1"/>
      <c r="C236" s="313"/>
      <c r="D236" s="313"/>
      <c r="E236" s="313"/>
      <c r="F236" s="313"/>
      <c r="G236" s="1"/>
      <c r="H236" s="313"/>
      <c r="I236" s="313"/>
      <c r="J236" s="313"/>
      <c r="K236" s="313"/>
      <c r="L236" s="313"/>
      <c r="M236" s="1"/>
      <c r="N236" s="1"/>
    </row>
    <row r="237" spans="1:14" s="2" customFormat="1">
      <c r="A237" s="1"/>
      <c r="B237" s="1"/>
      <c r="C237" s="313"/>
      <c r="D237" s="313"/>
      <c r="E237" s="313"/>
      <c r="F237" s="313"/>
      <c r="G237" s="1"/>
      <c r="H237" s="313"/>
      <c r="I237" s="313"/>
      <c r="J237" s="313"/>
      <c r="K237" s="313"/>
      <c r="L237" s="313"/>
      <c r="M237" s="1"/>
      <c r="N237" s="1"/>
    </row>
    <row r="238" spans="1:14" s="2" customFormat="1">
      <c r="A238" s="1"/>
      <c r="B238" s="1"/>
      <c r="C238" s="313"/>
      <c r="D238" s="313"/>
      <c r="E238" s="313"/>
      <c r="F238" s="313"/>
      <c r="G238" s="1"/>
      <c r="H238" s="313"/>
      <c r="I238" s="313"/>
      <c r="J238" s="313"/>
      <c r="K238" s="313"/>
      <c r="L238" s="313"/>
      <c r="M238" s="1"/>
      <c r="N238" s="1"/>
    </row>
    <row r="239" spans="1:14" s="2" customFormat="1">
      <c r="A239" s="1"/>
      <c r="B239" s="1"/>
      <c r="C239" s="313"/>
      <c r="D239" s="313"/>
      <c r="E239" s="313"/>
      <c r="F239" s="313"/>
      <c r="G239" s="1"/>
      <c r="H239" s="313"/>
      <c r="I239" s="313"/>
      <c r="J239" s="313"/>
      <c r="K239" s="313"/>
      <c r="L239" s="313"/>
      <c r="M239" s="1"/>
      <c r="N239" s="1"/>
    </row>
    <row r="240" spans="1:14" s="2" customFormat="1">
      <c r="A240" s="1"/>
      <c r="B240" s="1"/>
      <c r="C240" s="313"/>
      <c r="D240" s="313"/>
      <c r="E240" s="313"/>
      <c r="F240" s="313"/>
      <c r="G240" s="1"/>
      <c r="H240" s="313"/>
      <c r="I240" s="313"/>
      <c r="J240" s="313"/>
      <c r="K240" s="313"/>
      <c r="L240" s="313"/>
      <c r="M240" s="1"/>
      <c r="N240" s="1"/>
    </row>
    <row r="241" spans="1:14" s="2" customFormat="1">
      <c r="A241" s="1"/>
      <c r="B241" s="1"/>
      <c r="C241" s="313"/>
      <c r="D241" s="313"/>
      <c r="E241" s="313"/>
      <c r="F241" s="313"/>
      <c r="G241" s="1"/>
      <c r="H241" s="313"/>
      <c r="I241" s="313"/>
      <c r="J241" s="313"/>
      <c r="K241" s="313"/>
      <c r="L241" s="313"/>
      <c r="M241" s="1"/>
      <c r="N241" s="1"/>
    </row>
    <row r="242" spans="1:14" s="2" customFormat="1">
      <c r="A242" s="1"/>
      <c r="B242" s="1"/>
      <c r="C242" s="313"/>
      <c r="D242" s="313"/>
      <c r="E242" s="313"/>
      <c r="F242" s="313"/>
      <c r="G242" s="1"/>
      <c r="H242" s="313"/>
      <c r="I242" s="313"/>
      <c r="J242" s="313"/>
      <c r="K242" s="313"/>
      <c r="L242" s="313"/>
      <c r="M242" s="1"/>
      <c r="N242" s="1"/>
    </row>
    <row r="243" spans="1:14" s="2" customFormat="1">
      <c r="A243" s="1"/>
      <c r="B243" s="1"/>
      <c r="C243" s="313"/>
      <c r="D243" s="313"/>
      <c r="E243" s="313"/>
      <c r="F243" s="313"/>
      <c r="G243" s="1"/>
      <c r="H243" s="313"/>
      <c r="I243" s="313"/>
      <c r="J243" s="313"/>
      <c r="K243" s="313"/>
      <c r="L243" s="313"/>
      <c r="M243" s="1"/>
      <c r="N243" s="1"/>
    </row>
    <row r="244" spans="1:14" s="2" customFormat="1">
      <c r="A244" s="1"/>
      <c r="B244" s="1"/>
      <c r="C244" s="313"/>
      <c r="D244" s="313"/>
      <c r="E244" s="313"/>
      <c r="F244" s="313"/>
      <c r="G244" s="1"/>
      <c r="H244" s="313"/>
      <c r="I244" s="313"/>
      <c r="J244" s="313"/>
      <c r="K244" s="313"/>
      <c r="L244" s="313"/>
      <c r="M244" s="1"/>
      <c r="N244" s="1"/>
    </row>
    <row r="245" spans="1:14" s="2" customFormat="1">
      <c r="A245" s="1"/>
      <c r="B245" s="1"/>
      <c r="C245" s="313"/>
      <c r="D245" s="313"/>
      <c r="E245" s="313"/>
      <c r="F245" s="313"/>
      <c r="G245" s="1"/>
      <c r="H245" s="313"/>
      <c r="I245" s="313"/>
      <c r="J245" s="313"/>
      <c r="K245" s="313"/>
      <c r="L245" s="313"/>
      <c r="M245" s="1"/>
      <c r="N245" s="1"/>
    </row>
    <row r="246" spans="1:14" s="2" customFormat="1">
      <c r="A246" s="1"/>
      <c r="B246" s="1"/>
      <c r="C246" s="313"/>
      <c r="D246" s="313"/>
      <c r="E246" s="313"/>
      <c r="F246" s="313"/>
      <c r="G246" s="1"/>
      <c r="H246" s="313"/>
      <c r="I246" s="313"/>
      <c r="J246" s="313"/>
      <c r="K246" s="313"/>
      <c r="L246" s="313"/>
      <c r="M246" s="1"/>
      <c r="N246" s="1"/>
    </row>
    <row r="247" spans="1:14" s="2" customFormat="1">
      <c r="A247" s="1"/>
      <c r="B247" s="1"/>
      <c r="C247" s="313"/>
      <c r="D247" s="313"/>
      <c r="E247" s="313"/>
      <c r="F247" s="313"/>
      <c r="G247" s="1"/>
      <c r="H247" s="313"/>
      <c r="I247" s="313"/>
      <c r="J247" s="313"/>
      <c r="K247" s="313"/>
      <c r="L247" s="313"/>
      <c r="M247" s="1"/>
      <c r="N247" s="1"/>
    </row>
    <row r="248" spans="1:14" s="2" customFormat="1">
      <c r="A248" s="1"/>
      <c r="B248" s="1"/>
      <c r="C248" s="313"/>
      <c r="D248" s="313"/>
      <c r="E248" s="313"/>
      <c r="F248" s="313"/>
      <c r="G248" s="1"/>
      <c r="H248" s="313"/>
      <c r="I248" s="313"/>
      <c r="J248" s="313"/>
      <c r="K248" s="313"/>
      <c r="L248" s="313"/>
      <c r="M248" s="1"/>
      <c r="N248" s="1"/>
    </row>
    <row r="249" spans="1:14" s="2" customFormat="1">
      <c r="A249" s="1"/>
      <c r="B249" s="1"/>
      <c r="C249" s="313"/>
      <c r="D249" s="313"/>
      <c r="E249" s="313"/>
      <c r="F249" s="313"/>
      <c r="G249" s="1"/>
      <c r="H249" s="313"/>
      <c r="I249" s="313"/>
      <c r="J249" s="313"/>
      <c r="K249" s="313"/>
      <c r="L249" s="313"/>
      <c r="M249" s="1"/>
      <c r="N249" s="1"/>
    </row>
    <row r="250" spans="1:14" s="2" customFormat="1">
      <c r="A250" s="1"/>
      <c r="B250" s="1"/>
      <c r="C250" s="313"/>
      <c r="D250" s="313"/>
      <c r="E250" s="313"/>
      <c r="F250" s="313"/>
      <c r="G250" s="1"/>
      <c r="H250" s="313"/>
      <c r="I250" s="313"/>
      <c r="J250" s="313"/>
      <c r="K250" s="313"/>
      <c r="L250" s="313"/>
      <c r="M250" s="1"/>
      <c r="N250" s="1"/>
    </row>
    <row r="251" spans="1:14" s="2" customFormat="1">
      <c r="A251" s="1"/>
      <c r="B251" s="1"/>
      <c r="C251" s="1"/>
      <c r="D251" s="1"/>
      <c r="E251" s="1"/>
      <c r="F251" s="1"/>
      <c r="G251" s="1"/>
      <c r="H251" s="1"/>
      <c r="I251" s="1"/>
      <c r="J251" s="1"/>
      <c r="K251" s="1"/>
      <c r="L251" s="1"/>
      <c r="M251" s="1"/>
      <c r="N251" s="1"/>
    </row>
    <row r="252" spans="1:14" s="2" customFormat="1">
      <c r="A252" s="1"/>
      <c r="B252" s="1"/>
      <c r="C252" s="1"/>
      <c r="D252" s="1"/>
      <c r="E252" s="1"/>
      <c r="F252" s="1"/>
      <c r="G252" s="1"/>
      <c r="H252" s="1"/>
      <c r="I252" s="1"/>
      <c r="J252" s="1"/>
      <c r="K252" s="1"/>
      <c r="L252" s="1"/>
      <c r="M252" s="1"/>
      <c r="N252" s="1"/>
    </row>
    <row r="253" spans="1:14" s="2" customFormat="1">
      <c r="A253" s="1"/>
      <c r="B253" s="1"/>
      <c r="C253" s="1"/>
      <c r="D253" s="1"/>
      <c r="E253" s="1"/>
      <c r="F253" s="1"/>
      <c r="G253" s="1"/>
      <c r="H253" s="1"/>
      <c r="I253" s="1"/>
      <c r="J253" s="1"/>
      <c r="K253" s="1"/>
      <c r="L253" s="1"/>
      <c r="M253" s="1"/>
      <c r="N253" s="1"/>
    </row>
  </sheetData>
  <autoFilter ref="A1:D173" xr:uid="{EB4B6450-A4F2-415B-84C2-4BF41CA023A9}"/>
  <mergeCells count="291">
    <mergeCell ref="C248:D248"/>
    <mergeCell ref="C249:D249"/>
    <mergeCell ref="C250:D250"/>
    <mergeCell ref="C239:D239"/>
    <mergeCell ref="C240:D240"/>
    <mergeCell ref="C241:D241"/>
    <mergeCell ref="C242:D242"/>
    <mergeCell ref="C243:D243"/>
    <mergeCell ref="C244:D244"/>
    <mergeCell ref="C245:D245"/>
    <mergeCell ref="C246:D246"/>
    <mergeCell ref="C247:D247"/>
    <mergeCell ref="C230:D230"/>
    <mergeCell ref="C231:D231"/>
    <mergeCell ref="C232:D232"/>
    <mergeCell ref="C233:D233"/>
    <mergeCell ref="C234:D234"/>
    <mergeCell ref="C235:D235"/>
    <mergeCell ref="C236:D236"/>
    <mergeCell ref="C237:D237"/>
    <mergeCell ref="C238:D238"/>
    <mergeCell ref="C221:D221"/>
    <mergeCell ref="C222:D222"/>
    <mergeCell ref="C223:D223"/>
    <mergeCell ref="C224:D224"/>
    <mergeCell ref="C225:D225"/>
    <mergeCell ref="C226:D226"/>
    <mergeCell ref="C227:D227"/>
    <mergeCell ref="C228:D228"/>
    <mergeCell ref="C229:D229"/>
    <mergeCell ref="C212:D212"/>
    <mergeCell ref="C213:D213"/>
    <mergeCell ref="C214:D214"/>
    <mergeCell ref="C215:D215"/>
    <mergeCell ref="C216:D216"/>
    <mergeCell ref="C217:D217"/>
    <mergeCell ref="C218:D218"/>
    <mergeCell ref="C219:D219"/>
    <mergeCell ref="C220:D220"/>
    <mergeCell ref="C203:D203"/>
    <mergeCell ref="C204:D204"/>
    <mergeCell ref="C205:D205"/>
    <mergeCell ref="C206:D206"/>
    <mergeCell ref="C207:D207"/>
    <mergeCell ref="C208:D208"/>
    <mergeCell ref="C209:D209"/>
    <mergeCell ref="C210:D210"/>
    <mergeCell ref="C211:D211"/>
    <mergeCell ref="C194:D194"/>
    <mergeCell ref="C195:D195"/>
    <mergeCell ref="C196:D196"/>
    <mergeCell ref="C197:D197"/>
    <mergeCell ref="C198:D198"/>
    <mergeCell ref="C199:D199"/>
    <mergeCell ref="C200:D200"/>
    <mergeCell ref="C201:D201"/>
    <mergeCell ref="C202:D202"/>
    <mergeCell ref="C185:D185"/>
    <mergeCell ref="C186:D186"/>
    <mergeCell ref="C187:D187"/>
    <mergeCell ref="C188:D188"/>
    <mergeCell ref="C189:D189"/>
    <mergeCell ref="C190:D190"/>
    <mergeCell ref="C191:D191"/>
    <mergeCell ref="C192:D192"/>
    <mergeCell ref="C193:D193"/>
    <mergeCell ref="C176:D176"/>
    <mergeCell ref="C177:D177"/>
    <mergeCell ref="C178:D178"/>
    <mergeCell ref="C179:D179"/>
    <mergeCell ref="C180:D180"/>
    <mergeCell ref="C181:D181"/>
    <mergeCell ref="C182:D182"/>
    <mergeCell ref="C183:D183"/>
    <mergeCell ref="C184:D184"/>
    <mergeCell ref="C167:D167"/>
    <mergeCell ref="C168:D168"/>
    <mergeCell ref="C169:D169"/>
    <mergeCell ref="C170:D170"/>
    <mergeCell ref="C171:D171"/>
    <mergeCell ref="C172:D172"/>
    <mergeCell ref="C173:D173"/>
    <mergeCell ref="C174:D174"/>
    <mergeCell ref="C175:D175"/>
    <mergeCell ref="C158:D158"/>
    <mergeCell ref="C159:D159"/>
    <mergeCell ref="C160:D160"/>
    <mergeCell ref="C161:D161"/>
    <mergeCell ref="C162:D162"/>
    <mergeCell ref="C163:D163"/>
    <mergeCell ref="C164:D164"/>
    <mergeCell ref="C165:D165"/>
    <mergeCell ref="C166:D166"/>
    <mergeCell ref="C154:D154"/>
    <mergeCell ref="C155:D155"/>
    <mergeCell ref="C156:D156"/>
    <mergeCell ref="C157:D157"/>
    <mergeCell ref="H246:L246"/>
    <mergeCell ref="E246:F246"/>
    <mergeCell ref="H247:L247"/>
    <mergeCell ref="E247:F247"/>
    <mergeCell ref="H248:L248"/>
    <mergeCell ref="E248:F248"/>
    <mergeCell ref="H236:L236"/>
    <mergeCell ref="E236:F236"/>
    <mergeCell ref="H237:L237"/>
    <mergeCell ref="E237:F237"/>
    <mergeCell ref="H238:L238"/>
    <mergeCell ref="E238:F238"/>
    <mergeCell ref="H239:L239"/>
    <mergeCell ref="E239:F239"/>
    <mergeCell ref="H240:L240"/>
    <mergeCell ref="E240:F240"/>
    <mergeCell ref="H231:L231"/>
    <mergeCell ref="E231:F231"/>
    <mergeCell ref="H232:L232"/>
    <mergeCell ref="E232:F232"/>
    <mergeCell ref="H249:L249"/>
    <mergeCell ref="E249:F249"/>
    <mergeCell ref="H250:L250"/>
    <mergeCell ref="E250:F250"/>
    <mergeCell ref="H241:L241"/>
    <mergeCell ref="E241:F241"/>
    <mergeCell ref="H242:L242"/>
    <mergeCell ref="E242:F242"/>
    <mergeCell ref="H243:L243"/>
    <mergeCell ref="E243:F243"/>
    <mergeCell ref="H244:L244"/>
    <mergeCell ref="E244:F244"/>
    <mergeCell ref="H245:L245"/>
    <mergeCell ref="E245:F245"/>
    <mergeCell ref="H224:L224"/>
    <mergeCell ref="E224:F224"/>
    <mergeCell ref="H225:L225"/>
    <mergeCell ref="E225:F225"/>
    <mergeCell ref="H233:L233"/>
    <mergeCell ref="E233:F233"/>
    <mergeCell ref="H234:L234"/>
    <mergeCell ref="E234:F234"/>
    <mergeCell ref="H235:L235"/>
    <mergeCell ref="E235:F235"/>
    <mergeCell ref="H226:L226"/>
    <mergeCell ref="E226:F226"/>
    <mergeCell ref="H227:L227"/>
    <mergeCell ref="E227:F227"/>
    <mergeCell ref="H228:L228"/>
    <mergeCell ref="E228:F228"/>
    <mergeCell ref="H229:L229"/>
    <mergeCell ref="E229:F229"/>
    <mergeCell ref="H230:L230"/>
    <mergeCell ref="E230:F230"/>
    <mergeCell ref="H219:L219"/>
    <mergeCell ref="E219:F219"/>
    <mergeCell ref="H220:L220"/>
    <mergeCell ref="E220:F220"/>
    <mergeCell ref="H221:L221"/>
    <mergeCell ref="E221:F221"/>
    <mergeCell ref="H222:L222"/>
    <mergeCell ref="E222:F222"/>
    <mergeCell ref="H223:L223"/>
    <mergeCell ref="E223:F223"/>
    <mergeCell ref="H214:L214"/>
    <mergeCell ref="E214:F214"/>
    <mergeCell ref="H215:L215"/>
    <mergeCell ref="E215:F215"/>
    <mergeCell ref="H216:L216"/>
    <mergeCell ref="E216:F216"/>
    <mergeCell ref="H217:L217"/>
    <mergeCell ref="E217:F217"/>
    <mergeCell ref="H218:L218"/>
    <mergeCell ref="E218:F218"/>
    <mergeCell ref="H209:L209"/>
    <mergeCell ref="E209:F209"/>
    <mergeCell ref="H210:L210"/>
    <mergeCell ref="E210:F210"/>
    <mergeCell ref="H211:L211"/>
    <mergeCell ref="E211:F211"/>
    <mergeCell ref="H212:L212"/>
    <mergeCell ref="E212:F212"/>
    <mergeCell ref="H213:L213"/>
    <mergeCell ref="E213:F213"/>
    <mergeCell ref="H204:L204"/>
    <mergeCell ref="E204:F204"/>
    <mergeCell ref="H205:L205"/>
    <mergeCell ref="E205:F205"/>
    <mergeCell ref="H206:L206"/>
    <mergeCell ref="E206:F206"/>
    <mergeCell ref="H207:L207"/>
    <mergeCell ref="E207:F207"/>
    <mergeCell ref="H208:L208"/>
    <mergeCell ref="E208:F208"/>
    <mergeCell ref="H199:L199"/>
    <mergeCell ref="E199:F199"/>
    <mergeCell ref="H200:L200"/>
    <mergeCell ref="E200:F200"/>
    <mergeCell ref="H201:L201"/>
    <mergeCell ref="E201:F201"/>
    <mergeCell ref="H202:L202"/>
    <mergeCell ref="E202:F202"/>
    <mergeCell ref="H203:L203"/>
    <mergeCell ref="E203:F203"/>
    <mergeCell ref="H194:L194"/>
    <mergeCell ref="E194:F194"/>
    <mergeCell ref="H195:L195"/>
    <mergeCell ref="E195:F195"/>
    <mergeCell ref="H196:L196"/>
    <mergeCell ref="E196:F196"/>
    <mergeCell ref="H197:L197"/>
    <mergeCell ref="E197:F197"/>
    <mergeCell ref="H198:L198"/>
    <mergeCell ref="E198:F198"/>
    <mergeCell ref="H189:L189"/>
    <mergeCell ref="E189:F189"/>
    <mergeCell ref="H190:L190"/>
    <mergeCell ref="E190:F190"/>
    <mergeCell ref="H191:L191"/>
    <mergeCell ref="E191:F191"/>
    <mergeCell ref="H192:L192"/>
    <mergeCell ref="E192:F192"/>
    <mergeCell ref="H193:L193"/>
    <mergeCell ref="E193:F193"/>
    <mergeCell ref="H184:L184"/>
    <mergeCell ref="E184:F184"/>
    <mergeCell ref="H185:L185"/>
    <mergeCell ref="E185:F185"/>
    <mergeCell ref="H186:L186"/>
    <mergeCell ref="E186:F186"/>
    <mergeCell ref="H187:L187"/>
    <mergeCell ref="E187:F187"/>
    <mergeCell ref="H188:L188"/>
    <mergeCell ref="E188:F188"/>
    <mergeCell ref="H179:L179"/>
    <mergeCell ref="E179:F179"/>
    <mergeCell ref="H180:L180"/>
    <mergeCell ref="E180:F180"/>
    <mergeCell ref="H181:L181"/>
    <mergeCell ref="E181:F181"/>
    <mergeCell ref="H182:L182"/>
    <mergeCell ref="E182:F182"/>
    <mergeCell ref="H183:L183"/>
    <mergeCell ref="E183:F183"/>
    <mergeCell ref="H174:L174"/>
    <mergeCell ref="E174:F174"/>
    <mergeCell ref="H175:L175"/>
    <mergeCell ref="E175:F175"/>
    <mergeCell ref="H176:L176"/>
    <mergeCell ref="E176:F176"/>
    <mergeCell ref="H177:L177"/>
    <mergeCell ref="E177:F177"/>
    <mergeCell ref="H178:L178"/>
    <mergeCell ref="E178:F178"/>
    <mergeCell ref="H169:L169"/>
    <mergeCell ref="E169:F169"/>
    <mergeCell ref="H170:L170"/>
    <mergeCell ref="E170:F170"/>
    <mergeCell ref="H171:L171"/>
    <mergeCell ref="E171:F171"/>
    <mergeCell ref="H172:L172"/>
    <mergeCell ref="E172:F172"/>
    <mergeCell ref="H173:L173"/>
    <mergeCell ref="E173:F173"/>
    <mergeCell ref="H164:L164"/>
    <mergeCell ref="E164:F164"/>
    <mergeCell ref="H165:L165"/>
    <mergeCell ref="E165:F165"/>
    <mergeCell ref="H166:L166"/>
    <mergeCell ref="E166:F166"/>
    <mergeCell ref="H167:L167"/>
    <mergeCell ref="E167:F167"/>
    <mergeCell ref="H168:L168"/>
    <mergeCell ref="E168:F168"/>
    <mergeCell ref="H159:L159"/>
    <mergeCell ref="E159:F159"/>
    <mergeCell ref="H160:L160"/>
    <mergeCell ref="E160:F160"/>
    <mergeCell ref="H161:L161"/>
    <mergeCell ref="E161:F161"/>
    <mergeCell ref="H162:L162"/>
    <mergeCell ref="E162:F162"/>
    <mergeCell ref="H163:L163"/>
    <mergeCell ref="E163:F163"/>
    <mergeCell ref="H154:L154"/>
    <mergeCell ref="E154:F154"/>
    <mergeCell ref="H155:L155"/>
    <mergeCell ref="E155:F155"/>
    <mergeCell ref="H156:L156"/>
    <mergeCell ref="E156:F156"/>
    <mergeCell ref="H157:L157"/>
    <mergeCell ref="E157:F157"/>
    <mergeCell ref="H158:L158"/>
    <mergeCell ref="E158:F15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9C95-904C-4BFE-80B9-E9B6541A85A4}">
  <sheetPr codeName="Hoja2">
    <tabColor theme="4" tint="0.79998168889431442"/>
  </sheetPr>
  <dimension ref="A1:AI556"/>
  <sheetViews>
    <sheetView showGridLines="0" topLeftCell="A51" zoomScale="90" zoomScaleNormal="90" workbookViewId="0">
      <selection activeCell="D125" sqref="D125"/>
    </sheetView>
  </sheetViews>
  <sheetFormatPr baseColWidth="10" defaultColWidth="11.5703125" defaultRowHeight="15" zeroHeight="1"/>
  <cols>
    <col min="1" max="1" width="7.140625" style="20" bestFit="1" customWidth="1"/>
    <col min="2" max="2" width="5.42578125" style="20" bestFit="1" customWidth="1"/>
    <col min="3" max="3" width="5.85546875" style="20" bestFit="1" customWidth="1"/>
    <col min="4" max="4" width="55.28515625" style="20" customWidth="1"/>
    <col min="5" max="7" width="16.85546875" style="208" bestFit="1" customWidth="1"/>
    <col min="8" max="8" width="17" style="208" bestFit="1" customWidth="1"/>
    <col min="9" max="18" width="13.42578125" style="206" customWidth="1"/>
    <col min="19" max="19" width="7.140625" style="20" bestFit="1" customWidth="1"/>
    <col min="20" max="20" width="5.42578125" style="20" bestFit="1" customWidth="1"/>
    <col min="21" max="21" width="5.85546875" style="20" bestFit="1" customWidth="1"/>
    <col min="22" max="22" width="55.28515625" style="20" customWidth="1"/>
    <col min="23" max="24" width="18" style="208" bestFit="1" customWidth="1"/>
    <col min="25" max="25" width="13.85546875" style="208" bestFit="1" customWidth="1"/>
    <col min="26" max="26" width="18" style="208" bestFit="1" customWidth="1"/>
    <col min="27" max="32" width="13.42578125" style="20" hidden="1" customWidth="1"/>
    <col min="33" max="33" width="44.7109375" style="20" customWidth="1"/>
    <col min="34" max="34" width="39.85546875" style="20" customWidth="1"/>
    <col min="35" max="35" width="133.140625" style="20" customWidth="1"/>
    <col min="36" max="16384" width="11.5703125" style="20"/>
  </cols>
  <sheetData>
    <row r="1" spans="1:35">
      <c r="A1" s="171" t="s">
        <v>488</v>
      </c>
      <c r="B1"/>
      <c r="C1"/>
      <c r="D1"/>
      <c r="E1" s="207"/>
      <c r="F1" s="207"/>
      <c r="G1" s="207"/>
      <c r="H1" s="2"/>
      <c r="I1"/>
      <c r="J1"/>
      <c r="K1"/>
      <c r="L1"/>
      <c r="M1"/>
      <c r="N1" s="180"/>
      <c r="O1"/>
      <c r="P1"/>
      <c r="Q1"/>
      <c r="R1"/>
      <c r="S1" s="171" t="s">
        <v>488</v>
      </c>
      <c r="T1"/>
      <c r="U1"/>
      <c r="V1"/>
      <c r="W1" s="207"/>
      <c r="X1" s="207"/>
      <c r="Y1" s="207"/>
      <c r="Z1" s="2"/>
      <c r="AH1" s="80" t="s">
        <v>134</v>
      </c>
      <c r="AI1" s="80" t="s">
        <v>262</v>
      </c>
    </row>
    <row r="2" spans="1:35">
      <c r="A2" s="171" t="s">
        <v>489</v>
      </c>
      <c r="B2"/>
      <c r="C2"/>
      <c r="D2"/>
      <c r="E2" s="207"/>
      <c r="F2" s="207"/>
      <c r="G2" s="207"/>
      <c r="H2" s="2"/>
      <c r="I2"/>
      <c r="J2"/>
      <c r="K2"/>
      <c r="L2"/>
      <c r="M2"/>
      <c r="N2" s="180"/>
      <c r="O2"/>
      <c r="P2"/>
      <c r="Q2"/>
      <c r="R2"/>
      <c r="S2" s="171" t="s">
        <v>489</v>
      </c>
      <c r="T2"/>
      <c r="U2"/>
      <c r="V2"/>
      <c r="W2" s="207"/>
      <c r="X2" s="207"/>
      <c r="Y2" s="207"/>
      <c r="Z2" s="2"/>
      <c r="AG2" s="20" t="str">
        <f>+CONCATENATE(S2,T2,V2)</f>
        <v>R.F.C.: FFL191202GZ1 Dirección: Av. Santa Fe 505 Int. 802 Piso 8 Col. Cruz Manca CP05349</v>
      </c>
      <c r="AH2" s="20" t="e">
        <f>+VLOOKUP(AG2,Catálogo!E:F,2,0)</f>
        <v>#N/A</v>
      </c>
      <c r="AI2" s="20" t="e">
        <f>+VLOOKUP(AG2,Catálogo!E:G,3,0)</f>
        <v>#N/A</v>
      </c>
    </row>
    <row r="3" spans="1:35">
      <c r="A3" s="171" t="s">
        <v>549</v>
      </c>
      <c r="B3"/>
      <c r="C3"/>
      <c r="D3"/>
      <c r="E3" s="180"/>
      <c r="F3" s="180"/>
      <c r="G3" s="180"/>
      <c r="H3" s="2"/>
      <c r="I3"/>
      <c r="J3"/>
      <c r="K3"/>
      <c r="L3"/>
      <c r="M3"/>
      <c r="N3" s="180"/>
      <c r="O3"/>
      <c r="P3"/>
      <c r="Q3"/>
      <c r="R3"/>
      <c r="S3" s="171" t="s">
        <v>490</v>
      </c>
      <c r="T3"/>
      <c r="U3"/>
      <c r="V3"/>
      <c r="W3" s="180"/>
      <c r="X3" s="180"/>
      <c r="Y3" s="180"/>
      <c r="Z3" s="2"/>
      <c r="AG3" s="20" t="str">
        <f t="shared" ref="AG3:AG66" si="0">+CONCATENATE(S3,T3,V3)</f>
        <v>Periodo de : Enero 2024 a Septiembre 2024</v>
      </c>
      <c r="AH3" s="20" t="e">
        <f>+VLOOKUP(AG3,Catálogo!E:F,2,0)</f>
        <v>#N/A</v>
      </c>
      <c r="AI3" s="20" t="e">
        <f>+VLOOKUP(AG3,Catálogo!E:G,3,0)</f>
        <v>#N/A</v>
      </c>
    </row>
    <row r="4" spans="1:35">
      <c r="A4" s="171" t="s">
        <v>491</v>
      </c>
      <c r="B4"/>
      <c r="C4"/>
      <c r="D4"/>
      <c r="E4" s="180"/>
      <c r="F4" s="180"/>
      <c r="G4" s="180"/>
      <c r="H4" s="2"/>
      <c r="I4"/>
      <c r="J4"/>
      <c r="K4"/>
      <c r="L4"/>
      <c r="M4"/>
      <c r="N4" s="180"/>
      <c r="O4"/>
      <c r="P4"/>
      <c r="Q4"/>
      <c r="R4"/>
      <c r="S4" s="171" t="s">
        <v>491</v>
      </c>
      <c r="T4"/>
      <c r="U4"/>
      <c r="V4"/>
      <c r="W4" s="180"/>
      <c r="X4" s="180"/>
      <c r="Y4" s="180"/>
      <c r="Z4" s="2"/>
      <c r="AG4" s="20" t="str">
        <f t="shared" si="0"/>
        <v>Balanza de Comprobación</v>
      </c>
      <c r="AH4" s="20" t="e">
        <f>+VLOOKUP(AG4,Catálogo!E:F,2,0)</f>
        <v>#N/A</v>
      </c>
      <c r="AI4" s="20" t="e">
        <f>+VLOOKUP(AG4,Catálogo!E:G,3,0)</f>
        <v>#N/A</v>
      </c>
    </row>
    <row r="5" spans="1:35">
      <c r="A5" s="174" t="s">
        <v>492</v>
      </c>
      <c r="B5"/>
      <c r="C5"/>
      <c r="D5" s="172" t="s">
        <v>493</v>
      </c>
      <c r="E5" s="180"/>
      <c r="F5" s="180"/>
      <c r="G5" s="180"/>
      <c r="H5" s="2"/>
      <c r="I5"/>
      <c r="J5"/>
      <c r="K5"/>
      <c r="L5"/>
      <c r="M5"/>
      <c r="N5" s="180"/>
      <c r="O5"/>
      <c r="P5"/>
      <c r="Q5"/>
      <c r="R5"/>
      <c r="S5" s="174" t="s">
        <v>492</v>
      </c>
      <c r="T5"/>
      <c r="U5"/>
      <c r="V5" s="172" t="s">
        <v>493</v>
      </c>
      <c r="W5" s="180"/>
      <c r="X5" s="180"/>
      <c r="Y5" s="180"/>
      <c r="Z5" s="2"/>
      <c r="AG5" s="20" t="str">
        <f t="shared" si="0"/>
        <v>Balanza compartida por el contador:Andrés Martínez</v>
      </c>
      <c r="AH5" s="20" t="e">
        <f>+VLOOKUP(AG5,Catálogo!E:F,2,0)</f>
        <v>#N/A</v>
      </c>
      <c r="AI5" s="20" t="e">
        <f>+VLOOKUP(AG5,Catálogo!E:G,3,0)</f>
        <v>#N/A</v>
      </c>
    </row>
    <row r="6" spans="1:35">
      <c r="A6" s="174" t="s">
        <v>494</v>
      </c>
      <c r="B6" s="172" t="s">
        <v>495</v>
      </c>
      <c r="C6"/>
      <c r="D6"/>
      <c r="E6" s="180"/>
      <c r="F6" s="180"/>
      <c r="G6" s="180"/>
      <c r="H6" s="2"/>
      <c r="I6"/>
      <c r="J6" s="194"/>
      <c r="K6"/>
      <c r="L6" s="195"/>
      <c r="M6" s="194"/>
      <c r="N6" s="180"/>
      <c r="O6" s="194"/>
      <c r="P6"/>
      <c r="Q6"/>
      <c r="R6"/>
      <c r="S6" s="174" t="s">
        <v>494</v>
      </c>
      <c r="T6" s="172" t="s">
        <v>495</v>
      </c>
      <c r="U6"/>
      <c r="V6"/>
      <c r="W6" s="180"/>
      <c r="X6" s="180"/>
      <c r="Y6" s="180"/>
      <c r="Z6" s="2"/>
      <c r="AG6" s="20" t="str">
        <f t="shared" si="0"/>
        <v>Correo:amartinez@fortemcapital.com.mx</v>
      </c>
      <c r="AH6" s="20" t="e">
        <f>+VLOOKUP(AG6,Catálogo!E:F,2,0)</f>
        <v>#N/A</v>
      </c>
      <c r="AI6" s="20" t="e">
        <f>+VLOOKUP(AG6,Catálogo!E:G,3,0)</f>
        <v>#N/A</v>
      </c>
    </row>
    <row r="7" spans="1:35" ht="15.75" thickBot="1">
      <c r="A7" s="175" t="s">
        <v>548</v>
      </c>
      <c r="B7"/>
      <c r="C7" s="173"/>
      <c r="D7"/>
      <c r="E7" s="180"/>
      <c r="F7" s="180"/>
      <c r="G7" s="180"/>
      <c r="H7" s="180"/>
      <c r="I7"/>
      <c r="J7" s="194"/>
      <c r="K7" s="195"/>
      <c r="L7" s="195"/>
      <c r="M7" s="194"/>
      <c r="N7" s="211"/>
      <c r="O7" s="196">
        <f>+SUM(O11:O152)</f>
        <v>0</v>
      </c>
      <c r="P7" s="195"/>
      <c r="Q7"/>
      <c r="R7"/>
      <c r="S7" s="175" t="s">
        <v>496</v>
      </c>
      <c r="T7"/>
      <c r="U7" s="173"/>
      <c r="V7"/>
      <c r="W7" s="180"/>
      <c r="X7" s="180"/>
      <c r="Y7" s="180"/>
      <c r="Z7" s="180"/>
      <c r="AG7" s="20" t="str">
        <f t="shared" si="0"/>
        <v>Fecha de envio: 16/10/2024</v>
      </c>
      <c r="AH7" s="20" t="e">
        <f>+VLOOKUP(AG7,Catálogo!E:F,2,0)</f>
        <v>#N/A</v>
      </c>
      <c r="AI7" s="20" t="e">
        <f>+VLOOKUP(AG7,Catálogo!E:G,3,0)</f>
        <v>#N/A</v>
      </c>
    </row>
    <row r="8" spans="1:35" ht="15.75" thickTop="1">
      <c r="A8" s="175" t="s">
        <v>547</v>
      </c>
      <c r="B8"/>
      <c r="C8" s="173"/>
      <c r="D8"/>
      <c r="E8" s="180"/>
      <c r="F8" s="180"/>
      <c r="G8" s="180"/>
      <c r="H8" s="180"/>
      <c r="I8"/>
      <c r="J8" s="194"/>
      <c r="K8" s="195"/>
      <c r="L8" s="195"/>
      <c r="M8" s="194"/>
      <c r="N8" s="211"/>
      <c r="O8" s="194"/>
      <c r="P8" s="195"/>
      <c r="Q8"/>
      <c r="R8"/>
      <c r="S8" s="175" t="s">
        <v>497</v>
      </c>
      <c r="T8"/>
      <c r="U8" s="173"/>
      <c r="V8"/>
      <c r="W8" s="180"/>
      <c r="X8" s="180"/>
      <c r="Y8" s="180"/>
      <c r="Z8" s="180"/>
      <c r="AG8" s="20" t="str">
        <f t="shared" si="0"/>
        <v>Fecha de descarga: 16/10/2024</v>
      </c>
      <c r="AH8" s="20" t="e">
        <f>+VLOOKUP(AG8,Catálogo!E:F,2,0)</f>
        <v>#N/A</v>
      </c>
      <c r="AI8" s="20" t="e">
        <f>+VLOOKUP(AG8,Catálogo!E:G,3,0)</f>
        <v>#N/A</v>
      </c>
    </row>
    <row r="9" spans="1:35">
      <c r="A9" s="14"/>
      <c r="B9"/>
      <c r="C9"/>
      <c r="D9"/>
      <c r="E9" s="207"/>
      <c r="F9" s="207"/>
      <c r="G9" s="207"/>
      <c r="H9" s="180"/>
      <c r="I9"/>
      <c r="J9" s="194"/>
      <c r="K9" s="195"/>
      <c r="L9" s="195"/>
      <c r="M9" s="194"/>
      <c r="N9" s="211"/>
      <c r="O9" s="194"/>
      <c r="P9" s="195"/>
      <c r="Q9"/>
      <c r="R9"/>
      <c r="S9" s="14"/>
      <c r="T9"/>
      <c r="U9"/>
      <c r="V9"/>
      <c r="W9" s="207"/>
      <c r="X9" s="207"/>
      <c r="Y9" s="207"/>
      <c r="Z9" s="180"/>
      <c r="AG9" s="20" t="str">
        <f t="shared" si="0"/>
        <v/>
      </c>
      <c r="AH9" s="20" t="e">
        <f>+VLOOKUP(AG9,Catálogo!E:F,2,0)</f>
        <v>#N/A</v>
      </c>
      <c r="AI9" s="20" t="e">
        <f>+VLOOKUP(AG9,Catálogo!E:G,3,0)</f>
        <v>#N/A</v>
      </c>
    </row>
    <row r="10" spans="1:35" ht="15.75" thickBot="1">
      <c r="A10" s="238" t="s">
        <v>0</v>
      </c>
      <c r="B10" s="239" t="s">
        <v>1</v>
      </c>
      <c r="C10" s="238" t="s">
        <v>2</v>
      </c>
      <c r="D10" s="238" t="s">
        <v>3</v>
      </c>
      <c r="E10" s="243" t="s">
        <v>4</v>
      </c>
      <c r="F10" s="244" t="s">
        <v>5</v>
      </c>
      <c r="G10" s="243" t="s">
        <v>6</v>
      </c>
      <c r="H10" s="243" t="s">
        <v>7</v>
      </c>
      <c r="I10" s="197"/>
      <c r="J10" s="198"/>
      <c r="K10" s="199" t="s">
        <v>545</v>
      </c>
      <c r="L10" s="200"/>
      <c r="M10" s="198"/>
      <c r="N10" s="212" t="s">
        <v>546</v>
      </c>
      <c r="O10" s="198"/>
      <c r="P10" s="200"/>
      <c r="Q10" s="197"/>
      <c r="R10" s="197"/>
      <c r="S10" s="238" t="s">
        <v>0</v>
      </c>
      <c r="T10" s="239" t="s">
        <v>1</v>
      </c>
      <c r="U10" s="238" t="s">
        <v>2</v>
      </c>
      <c r="V10" s="238" t="s">
        <v>3</v>
      </c>
      <c r="W10" s="243" t="s">
        <v>4</v>
      </c>
      <c r="X10" s="244" t="s">
        <v>5</v>
      </c>
      <c r="Y10" s="243" t="s">
        <v>6</v>
      </c>
      <c r="Z10" s="238" t="s">
        <v>7</v>
      </c>
      <c r="AG10" s="20" t="str">
        <f t="shared" si="0"/>
        <v>CuentaSctaDescripción</v>
      </c>
      <c r="AH10" s="20" t="e">
        <f>+VLOOKUP(AG10,Catálogo!E:F,2,0)</f>
        <v>#N/A</v>
      </c>
      <c r="AI10" s="20" t="e">
        <f>+VLOOKUP(AG10,Catálogo!E:G,3,0)</f>
        <v>#N/A</v>
      </c>
    </row>
    <row r="11" spans="1:35" ht="15.75" thickTop="1">
      <c r="A11" s="240">
        <v>103</v>
      </c>
      <c r="B11" s="240">
        <v>0</v>
      </c>
      <c r="C11" s="241">
        <v>0</v>
      </c>
      <c r="D11" s="52" t="s">
        <v>8</v>
      </c>
      <c r="E11" s="242">
        <v>360054.31</v>
      </c>
      <c r="F11" s="242">
        <v>61942188.630000003</v>
      </c>
      <c r="G11" s="242">
        <v>-61837755.799999997</v>
      </c>
      <c r="H11" s="242">
        <v>464487.14</v>
      </c>
      <c r="I11"/>
      <c r="J11" s="194">
        <f>+ROUND(H11/1000,0)</f>
        <v>464</v>
      </c>
      <c r="K11" s="201">
        <f>+IFERROR(LEFT(AH11,3),0)</f>
        <v>0</v>
      </c>
      <c r="L11" s="201">
        <f>+IFERROR(ABS(K11),"ok")</f>
        <v>0</v>
      </c>
      <c r="M11" s="202">
        <f>+IF(L11="ok",J11,0)</f>
        <v>0</v>
      </c>
      <c r="N11" s="180"/>
      <c r="O11" s="202">
        <f>+M11+N11</f>
        <v>0</v>
      </c>
      <c r="P11" s="203"/>
      <c r="Q11"/>
      <c r="R11"/>
      <c r="S11" s="240">
        <v>103</v>
      </c>
      <c r="T11" s="240">
        <v>0</v>
      </c>
      <c r="U11" s="241">
        <v>0</v>
      </c>
      <c r="V11" s="52" t="s">
        <v>8</v>
      </c>
      <c r="W11" s="242">
        <v>360054.31</v>
      </c>
      <c r="X11" s="242">
        <v>61942188.630000003</v>
      </c>
      <c r="Y11" s="242">
        <v>-61837755.799999997</v>
      </c>
      <c r="Z11" s="242">
        <f>+O11</f>
        <v>0</v>
      </c>
      <c r="AG11" s="20" t="str">
        <f t="shared" si="0"/>
        <v>1030BANCOS</v>
      </c>
      <c r="AH11" s="20" t="e">
        <f>+VLOOKUP(AG11,Catálogo!E:F,2,0)</f>
        <v>#N/A</v>
      </c>
      <c r="AI11" s="20">
        <f>+VLOOKUP(AG11,Catálogo!E:G,3,0)</f>
        <v>0</v>
      </c>
    </row>
    <row r="12" spans="1:35">
      <c r="A12" s="240">
        <v>103</v>
      </c>
      <c r="B12" s="240">
        <v>1</v>
      </c>
      <c r="C12" s="241">
        <v>0</v>
      </c>
      <c r="D12" s="52" t="s">
        <v>9</v>
      </c>
      <c r="E12" s="242">
        <v>360054.31</v>
      </c>
      <c r="F12" s="242">
        <v>61942188.630000003</v>
      </c>
      <c r="G12" s="242">
        <v>-61837755.799999997</v>
      </c>
      <c r="H12" s="242">
        <v>464487.14</v>
      </c>
      <c r="I12"/>
      <c r="J12" s="194">
        <f t="shared" ref="J12:J75" si="1">+ROUND(H12/1000,0)</f>
        <v>464</v>
      </c>
      <c r="K12" s="201">
        <f t="shared" ref="K12:K75" si="2">+IFERROR(LEFT(AH12,3),0)</f>
        <v>0</v>
      </c>
      <c r="L12" s="201">
        <f t="shared" ref="L12:L75" si="3">+IFERROR(ABS(K12),"ok")</f>
        <v>0</v>
      </c>
      <c r="M12" s="202">
        <f t="shared" ref="M12:M75" si="4">+IF(L12="ok",J12,0)</f>
        <v>0</v>
      </c>
      <c r="N12" s="180"/>
      <c r="O12" s="202">
        <f t="shared" ref="O12:O75" si="5">+M12+N12</f>
        <v>0</v>
      </c>
      <c r="P12" s="203"/>
      <c r="Q12"/>
      <c r="R12"/>
      <c r="S12" s="240">
        <v>103</v>
      </c>
      <c r="T12" s="240">
        <v>1</v>
      </c>
      <c r="U12" s="241">
        <v>0</v>
      </c>
      <c r="V12" s="52" t="s">
        <v>9</v>
      </c>
      <c r="W12" s="242">
        <v>360054.31</v>
      </c>
      <c r="X12" s="242">
        <v>61942188.630000003</v>
      </c>
      <c r="Y12" s="242">
        <v>-61837755.799999997</v>
      </c>
      <c r="Z12" s="242">
        <f t="shared" ref="Z12:Z75" si="6">+O12</f>
        <v>0</v>
      </c>
      <c r="AG12" s="20" t="str">
        <f t="shared" si="0"/>
        <v>1031MONEDA NACIONAL</v>
      </c>
      <c r="AH12" s="20" t="e">
        <f>+VLOOKUP(AG12,Catálogo!E:F,2,0)</f>
        <v>#N/A</v>
      </c>
      <c r="AI12" s="20">
        <f>+VLOOKUP(AG12,Catálogo!E:G,3,0)</f>
        <v>0</v>
      </c>
    </row>
    <row r="13" spans="1:35">
      <c r="A13" s="240">
        <v>103</v>
      </c>
      <c r="B13" s="240">
        <v>1</v>
      </c>
      <c r="C13" s="241">
        <v>2</v>
      </c>
      <c r="D13" s="52" t="s">
        <v>10</v>
      </c>
      <c r="E13" s="242">
        <v>2749.92</v>
      </c>
      <c r="F13" s="242">
        <v>26742158.73</v>
      </c>
      <c r="G13" s="242">
        <v>-26711748.489999998</v>
      </c>
      <c r="H13" s="242">
        <v>33160.160000000003</v>
      </c>
      <c r="I13"/>
      <c r="J13" s="194">
        <f t="shared" si="1"/>
        <v>33</v>
      </c>
      <c r="K13" s="201" t="str">
        <f t="shared" si="2"/>
        <v>Efe</v>
      </c>
      <c r="L13" s="201" t="str">
        <f t="shared" si="3"/>
        <v>ok</v>
      </c>
      <c r="M13" s="202">
        <f t="shared" si="4"/>
        <v>33</v>
      </c>
      <c r="N13" s="180"/>
      <c r="O13" s="202">
        <f t="shared" si="5"/>
        <v>33</v>
      </c>
      <c r="P13" s="203"/>
      <c r="Q13"/>
      <c r="R13"/>
      <c r="S13" s="240">
        <v>103</v>
      </c>
      <c r="T13" s="240">
        <v>1</v>
      </c>
      <c r="U13" s="241">
        <v>2</v>
      </c>
      <c r="V13" s="52" t="s">
        <v>10</v>
      </c>
      <c r="W13" s="242">
        <v>2749.92</v>
      </c>
      <c r="X13" s="242">
        <v>26742158.73</v>
      </c>
      <c r="Y13" s="242">
        <v>-26711748.489999998</v>
      </c>
      <c r="Z13" s="242">
        <f t="shared" si="6"/>
        <v>33</v>
      </c>
      <c r="AG13" s="20" t="str">
        <f t="shared" si="0"/>
        <v>1031BBVA CTA 0116008208</v>
      </c>
      <c r="AH13" s="20" t="str">
        <f>+VLOOKUP(AG13,Catálogo!E:F,2,0)</f>
        <v>Efectivo y equivalentes de efectivo</v>
      </c>
      <c r="AI13" s="20" t="str">
        <f>+VLOOKUP(AG13,Catálogo!E:G,3,0)</f>
        <v>Depósitos en cuenta de cheques</v>
      </c>
    </row>
    <row r="14" spans="1:35">
      <c r="A14" s="240">
        <v>103</v>
      </c>
      <c r="B14" s="240">
        <v>1</v>
      </c>
      <c r="C14" s="241">
        <v>3</v>
      </c>
      <c r="D14" s="52" t="s">
        <v>448</v>
      </c>
      <c r="E14" s="242">
        <v>7291.8</v>
      </c>
      <c r="F14" s="242">
        <v>0</v>
      </c>
      <c r="G14" s="242">
        <v>-965.12</v>
      </c>
      <c r="H14" s="242">
        <v>6326.68</v>
      </c>
      <c r="I14"/>
      <c r="J14" s="194">
        <f t="shared" si="1"/>
        <v>6</v>
      </c>
      <c r="K14" s="201" t="str">
        <f t="shared" si="2"/>
        <v>Efe</v>
      </c>
      <c r="L14" s="201" t="str">
        <f t="shared" si="3"/>
        <v>ok</v>
      </c>
      <c r="M14" s="202">
        <f t="shared" si="4"/>
        <v>6</v>
      </c>
      <c r="N14" s="180"/>
      <c r="O14" s="202">
        <f t="shared" si="5"/>
        <v>6</v>
      </c>
      <c r="P14" s="203"/>
      <c r="Q14"/>
      <c r="R14"/>
      <c r="S14" s="240">
        <v>103</v>
      </c>
      <c r="T14" s="240">
        <v>1</v>
      </c>
      <c r="U14" s="241">
        <v>3</v>
      </c>
      <c r="V14" s="52" t="s">
        <v>448</v>
      </c>
      <c r="W14" s="242">
        <v>7291.8</v>
      </c>
      <c r="X14" s="242">
        <v>0</v>
      </c>
      <c r="Y14" s="242">
        <v>-965.12</v>
      </c>
      <c r="Z14" s="242">
        <f t="shared" si="6"/>
        <v>6</v>
      </c>
      <c r="AG14" s="20" t="str">
        <f t="shared" si="0"/>
        <v>1031BBVA CTA 0122389452</v>
      </c>
      <c r="AH14" s="20" t="str">
        <f>+VLOOKUP(AG14,Catálogo!E:F,2,0)</f>
        <v>Efectivo y equivalentes de efectivo</v>
      </c>
      <c r="AI14" s="20" t="str">
        <f>+VLOOKUP(AG14,Catálogo!E:G,3,0)</f>
        <v>Depósitos en cuenta de cheques</v>
      </c>
    </row>
    <row r="15" spans="1:35">
      <c r="A15" s="240">
        <v>103</v>
      </c>
      <c r="B15" s="240">
        <v>1</v>
      </c>
      <c r="C15" s="241">
        <v>5</v>
      </c>
      <c r="D15" s="52" t="s">
        <v>11</v>
      </c>
      <c r="E15" s="242">
        <v>350012.59</v>
      </c>
      <c r="F15" s="242">
        <v>35200029.899999999</v>
      </c>
      <c r="G15" s="242">
        <v>-35125042.189999998</v>
      </c>
      <c r="H15" s="242">
        <v>425000.3</v>
      </c>
      <c r="I15"/>
      <c r="J15" s="194">
        <f t="shared" si="1"/>
        <v>425</v>
      </c>
      <c r="K15" s="201" t="str">
        <f t="shared" si="2"/>
        <v>Efe</v>
      </c>
      <c r="L15" s="201" t="str">
        <f t="shared" si="3"/>
        <v>ok</v>
      </c>
      <c r="M15" s="202">
        <f t="shared" si="4"/>
        <v>425</v>
      </c>
      <c r="N15" s="180"/>
      <c r="O15" s="202">
        <f t="shared" si="5"/>
        <v>425</v>
      </c>
      <c r="P15" s="203"/>
      <c r="Q15"/>
      <c r="R15"/>
      <c r="S15" s="240">
        <v>103</v>
      </c>
      <c r="T15" s="240">
        <v>1</v>
      </c>
      <c r="U15" s="241">
        <v>5</v>
      </c>
      <c r="V15" s="52" t="s">
        <v>11</v>
      </c>
      <c r="W15" s="242">
        <v>350012.59</v>
      </c>
      <c r="X15" s="242">
        <v>35200029.899999999</v>
      </c>
      <c r="Y15" s="242">
        <v>-35125042.189999998</v>
      </c>
      <c r="Z15" s="242">
        <f t="shared" si="6"/>
        <v>425</v>
      </c>
      <c r="AG15" s="20" t="str">
        <f t="shared" si="0"/>
        <v>1031INVEX CTA 05661 COBRANZA</v>
      </c>
      <c r="AH15" s="20" t="str">
        <f>+VLOOKUP(AG15,Catálogo!E:F,2,0)</f>
        <v>Efectivo y equivalentes de efectivo</v>
      </c>
      <c r="AI15" s="20" t="str">
        <f>+VLOOKUP(AG15,Catálogo!E:G,3,0)</f>
        <v>Depósitos en cuenta de cheques</v>
      </c>
    </row>
    <row r="16" spans="1:35">
      <c r="A16" s="240">
        <v>104</v>
      </c>
      <c r="B16" s="240">
        <v>0</v>
      </c>
      <c r="C16" s="241">
        <v>0</v>
      </c>
      <c r="D16" s="52" t="s">
        <v>13</v>
      </c>
      <c r="E16" s="242">
        <v>50825583.840000004</v>
      </c>
      <c r="F16" s="242">
        <v>660730598.10000002</v>
      </c>
      <c r="G16" s="242">
        <v>-669301357.02999997</v>
      </c>
      <c r="H16" s="242">
        <v>42254824.909999996</v>
      </c>
      <c r="I16"/>
      <c r="J16" s="194">
        <f t="shared" si="1"/>
        <v>42255</v>
      </c>
      <c r="K16" s="201">
        <f t="shared" si="2"/>
        <v>0</v>
      </c>
      <c r="L16" s="201">
        <f t="shared" si="3"/>
        <v>0</v>
      </c>
      <c r="M16" s="202">
        <f t="shared" si="4"/>
        <v>0</v>
      </c>
      <c r="N16" s="180"/>
      <c r="O16" s="202">
        <f t="shared" si="5"/>
        <v>0</v>
      </c>
      <c r="P16" s="203"/>
      <c r="Q16"/>
      <c r="R16"/>
      <c r="S16" s="240">
        <v>104</v>
      </c>
      <c r="T16" s="240">
        <v>0</v>
      </c>
      <c r="U16" s="241">
        <v>0</v>
      </c>
      <c r="V16" s="52" t="s">
        <v>13</v>
      </c>
      <c r="W16" s="242">
        <v>50825583.840000004</v>
      </c>
      <c r="X16" s="242">
        <v>660730598.10000002</v>
      </c>
      <c r="Y16" s="242">
        <v>-669301357.02999997</v>
      </c>
      <c r="Z16" s="242">
        <f t="shared" si="6"/>
        <v>0</v>
      </c>
      <c r="AG16" s="20" t="str">
        <f t="shared" si="0"/>
        <v>1040INVERSIONES SISTEMA FINANCIERO</v>
      </c>
      <c r="AH16" s="20" t="e">
        <f>+VLOOKUP(AG16,Catálogo!E:F,2,0)</f>
        <v>#N/A</v>
      </c>
      <c r="AI16" s="20">
        <f>+VLOOKUP(AG16,Catálogo!E:G,3,0)</f>
        <v>0</v>
      </c>
    </row>
    <row r="17" spans="1:35">
      <c r="A17" s="240">
        <v>104</v>
      </c>
      <c r="B17" s="240">
        <v>1</v>
      </c>
      <c r="C17" s="241">
        <v>0</v>
      </c>
      <c r="D17" s="52" t="s">
        <v>9</v>
      </c>
      <c r="E17" s="242">
        <v>50825583.840000004</v>
      </c>
      <c r="F17" s="242">
        <v>660730598.10000002</v>
      </c>
      <c r="G17" s="242">
        <v>-669301357.02999997</v>
      </c>
      <c r="H17" s="242">
        <v>42254824.909999996</v>
      </c>
      <c r="I17"/>
      <c r="J17" s="194">
        <f t="shared" si="1"/>
        <v>42255</v>
      </c>
      <c r="K17" s="201">
        <f t="shared" si="2"/>
        <v>0</v>
      </c>
      <c r="L17" s="201">
        <f t="shared" si="3"/>
        <v>0</v>
      </c>
      <c r="M17" s="202">
        <f t="shared" si="4"/>
        <v>0</v>
      </c>
      <c r="N17" s="180"/>
      <c r="O17" s="202">
        <f t="shared" si="5"/>
        <v>0</v>
      </c>
      <c r="P17" s="203"/>
      <c r="Q17"/>
      <c r="R17"/>
      <c r="S17" s="240">
        <v>104</v>
      </c>
      <c r="T17" s="240">
        <v>1</v>
      </c>
      <c r="U17" s="241">
        <v>0</v>
      </c>
      <c r="V17" s="52" t="s">
        <v>9</v>
      </c>
      <c r="W17" s="242">
        <v>50825583.840000004</v>
      </c>
      <c r="X17" s="242">
        <v>660730598.10000002</v>
      </c>
      <c r="Y17" s="242">
        <v>-669301357.02999997</v>
      </c>
      <c r="Z17" s="242">
        <f t="shared" si="6"/>
        <v>0</v>
      </c>
      <c r="AG17" s="20" t="str">
        <f t="shared" si="0"/>
        <v>1041MONEDA NACIONAL</v>
      </c>
      <c r="AH17" s="20" t="e">
        <f>+VLOOKUP(AG17,Catálogo!E:F,2,0)</f>
        <v>#N/A</v>
      </c>
      <c r="AI17" s="20">
        <f>+VLOOKUP(AG17,Catálogo!E:G,3,0)</f>
        <v>0</v>
      </c>
    </row>
    <row r="18" spans="1:35">
      <c r="A18" s="240">
        <v>104</v>
      </c>
      <c r="B18" s="240">
        <v>1</v>
      </c>
      <c r="C18" s="241">
        <v>1</v>
      </c>
      <c r="D18" s="52" t="s">
        <v>14</v>
      </c>
      <c r="E18" s="242">
        <v>37.97</v>
      </c>
      <c r="F18" s="242">
        <v>215658239.66</v>
      </c>
      <c r="G18" s="242">
        <v>-215658272.81</v>
      </c>
      <c r="H18" s="242">
        <v>4.82</v>
      </c>
      <c r="I18"/>
      <c r="J18" s="194">
        <f t="shared" si="1"/>
        <v>0</v>
      </c>
      <c r="K18" s="201" t="str">
        <f t="shared" si="2"/>
        <v>Efe</v>
      </c>
      <c r="L18" s="201" t="str">
        <f t="shared" si="3"/>
        <v>ok</v>
      </c>
      <c r="M18" s="202">
        <f t="shared" si="4"/>
        <v>0</v>
      </c>
      <c r="N18" s="180"/>
      <c r="O18" s="202">
        <f t="shared" si="5"/>
        <v>0</v>
      </c>
      <c r="P18" s="203"/>
      <c r="Q18"/>
      <c r="R18"/>
      <c r="S18" s="240">
        <v>104</v>
      </c>
      <c r="T18" s="240">
        <v>1</v>
      </c>
      <c r="U18" s="241">
        <v>1</v>
      </c>
      <c r="V18" s="52" t="s">
        <v>14</v>
      </c>
      <c r="W18" s="242">
        <v>37.97</v>
      </c>
      <c r="X18" s="242">
        <v>215658239.66</v>
      </c>
      <c r="Y18" s="242">
        <v>-215658272.81</v>
      </c>
      <c r="Z18" s="242">
        <f t="shared" si="6"/>
        <v>0</v>
      </c>
      <c r="AG18" s="20" t="str">
        <f t="shared" si="0"/>
        <v>1041ACTINVER 8344681 CUENTA GENERAL</v>
      </c>
      <c r="AH18" s="20" t="str">
        <f>+VLOOKUP(AG18,Catálogo!E:F,2,0)</f>
        <v>Efectivo y equivalentes de efectivo</v>
      </c>
      <c r="AI18" s="20" t="str">
        <f>+VLOOKUP(AG18,Catálogo!E:G,3,0)</f>
        <v>Inversiones en valores realizables</v>
      </c>
    </row>
    <row r="19" spans="1:35">
      <c r="A19" s="240">
        <v>104</v>
      </c>
      <c r="B19" s="240">
        <v>1</v>
      </c>
      <c r="C19" s="241">
        <v>2</v>
      </c>
      <c r="D19" s="52" t="s">
        <v>15</v>
      </c>
      <c r="E19" s="242">
        <v>14209862.640000001</v>
      </c>
      <c r="F19" s="242">
        <v>9296192.9800000004</v>
      </c>
      <c r="G19" s="242">
        <v>-14209862.640000001</v>
      </c>
      <c r="H19" s="242">
        <v>9296192.9800000004</v>
      </c>
      <c r="I19"/>
      <c r="J19" s="194">
        <f t="shared" si="1"/>
        <v>9296</v>
      </c>
      <c r="K19" s="201" t="str">
        <f t="shared" si="2"/>
        <v>Efe</v>
      </c>
      <c r="L19" s="201" t="str">
        <f t="shared" si="3"/>
        <v>ok</v>
      </c>
      <c r="M19" s="202">
        <f t="shared" si="4"/>
        <v>9296</v>
      </c>
      <c r="N19" s="180"/>
      <c r="O19" s="202">
        <f t="shared" si="5"/>
        <v>9296</v>
      </c>
      <c r="P19" s="203"/>
      <c r="Q19"/>
      <c r="R19"/>
      <c r="S19" s="240">
        <v>104</v>
      </c>
      <c r="T19" s="240">
        <v>1</v>
      </c>
      <c r="U19" s="241">
        <v>2</v>
      </c>
      <c r="V19" s="52" t="s">
        <v>15</v>
      </c>
      <c r="W19" s="242">
        <v>14209862.640000001</v>
      </c>
      <c r="X19" s="242">
        <v>9296192.9800000004</v>
      </c>
      <c r="Y19" s="242">
        <v>-14209862.640000001</v>
      </c>
      <c r="Z19" s="242">
        <f t="shared" si="6"/>
        <v>9296</v>
      </c>
      <c r="AG19" s="20" t="str">
        <f t="shared" si="0"/>
        <v>1041ACTINVER 8344681 COMPLEMENTARIA</v>
      </c>
      <c r="AH19" s="20" t="str">
        <f>+VLOOKUP(AG19,Catálogo!E:F,2,0)</f>
        <v>Efectivo y equivalentes de efectivo</v>
      </c>
      <c r="AI19" s="20" t="str">
        <f>+VLOOKUP(AG19,Catálogo!E:G,3,0)</f>
        <v>Inversiones en valores realizables</v>
      </c>
    </row>
    <row r="20" spans="1:35">
      <c r="A20" s="240">
        <v>104</v>
      </c>
      <c r="B20" s="240">
        <v>1</v>
      </c>
      <c r="C20" s="241">
        <v>3</v>
      </c>
      <c r="D20" s="52" t="s">
        <v>16</v>
      </c>
      <c r="E20" s="242">
        <v>63.87</v>
      </c>
      <c r="F20" s="242">
        <v>354786334.01999998</v>
      </c>
      <c r="G20" s="242">
        <v>-354786334.64999998</v>
      </c>
      <c r="H20" s="242">
        <v>63.24</v>
      </c>
      <c r="I20"/>
      <c r="J20" s="194">
        <f t="shared" si="1"/>
        <v>0</v>
      </c>
      <c r="K20" s="201" t="str">
        <f t="shared" si="2"/>
        <v>Efe</v>
      </c>
      <c r="L20" s="201" t="str">
        <f t="shared" si="3"/>
        <v>ok</v>
      </c>
      <c r="M20" s="202">
        <f t="shared" si="4"/>
        <v>0</v>
      </c>
      <c r="N20" s="180"/>
      <c r="O20" s="202">
        <f t="shared" si="5"/>
        <v>0</v>
      </c>
      <c r="P20" s="203"/>
      <c r="Q20"/>
      <c r="R20"/>
      <c r="S20" s="240">
        <v>104</v>
      </c>
      <c r="T20" s="240">
        <v>1</v>
      </c>
      <c r="U20" s="241">
        <v>3</v>
      </c>
      <c r="V20" s="52" t="s">
        <v>16</v>
      </c>
      <c r="W20" s="242">
        <v>63.87</v>
      </c>
      <c r="X20" s="242">
        <v>354786334.01999998</v>
      </c>
      <c r="Y20" s="242">
        <v>-354786334.64999998</v>
      </c>
      <c r="Z20" s="242">
        <f t="shared" si="6"/>
        <v>0</v>
      </c>
      <c r="AG20" s="20" t="str">
        <f t="shared" si="0"/>
        <v>1041ACTINVER 5371322 CUENTA GENERAL</v>
      </c>
      <c r="AH20" s="20" t="str">
        <f>+VLOOKUP(AG20,Catálogo!E:F,2,0)</f>
        <v>Efectivo y equivalentes de efectivo</v>
      </c>
      <c r="AI20" s="20" t="str">
        <f>+VLOOKUP(AG20,Catálogo!E:G,3,0)</f>
        <v>Inversiones en valores realizables</v>
      </c>
    </row>
    <row r="21" spans="1:35">
      <c r="A21" s="240">
        <v>104</v>
      </c>
      <c r="B21" s="240">
        <v>1</v>
      </c>
      <c r="C21" s="241">
        <v>4</v>
      </c>
      <c r="D21" s="52" t="s">
        <v>17</v>
      </c>
      <c r="E21" s="242">
        <v>19570563.370000001</v>
      </c>
      <c r="F21" s="242">
        <v>12794512.550000001</v>
      </c>
      <c r="G21" s="242">
        <v>-19570563.370000001</v>
      </c>
      <c r="H21" s="242">
        <v>12794512.550000001</v>
      </c>
      <c r="I21"/>
      <c r="J21" s="194">
        <f t="shared" si="1"/>
        <v>12795</v>
      </c>
      <c r="K21" s="201" t="str">
        <f t="shared" si="2"/>
        <v>Efe</v>
      </c>
      <c r="L21" s="201" t="str">
        <f t="shared" si="3"/>
        <v>ok</v>
      </c>
      <c r="M21" s="202">
        <f t="shared" si="4"/>
        <v>12795</v>
      </c>
      <c r="N21" s="213"/>
      <c r="O21" s="202">
        <f t="shared" si="5"/>
        <v>12795</v>
      </c>
      <c r="P21" s="203"/>
      <c r="Q21"/>
      <c r="R21"/>
      <c r="S21" s="240">
        <v>104</v>
      </c>
      <c r="T21" s="240">
        <v>1</v>
      </c>
      <c r="U21" s="241">
        <v>4</v>
      </c>
      <c r="V21" s="52" t="s">
        <v>17</v>
      </c>
      <c r="W21" s="242">
        <v>19570563.370000001</v>
      </c>
      <c r="X21" s="242">
        <v>12794512.550000001</v>
      </c>
      <c r="Y21" s="242">
        <v>-19570563.370000001</v>
      </c>
      <c r="Z21" s="242">
        <f t="shared" si="6"/>
        <v>12795</v>
      </c>
      <c r="AG21" s="20" t="str">
        <f t="shared" si="0"/>
        <v>1041ACTINVER CTA 5371322 COMPLEMENTARIA</v>
      </c>
      <c r="AH21" s="20" t="str">
        <f>+VLOOKUP(AG21,Catálogo!E:F,2,0)</f>
        <v>Efectivo y equivalentes de efectivo</v>
      </c>
      <c r="AI21" s="20" t="str">
        <f>+VLOOKUP(AG21,Catálogo!E:G,3,0)</f>
        <v>Inversiones en valores realizables</v>
      </c>
    </row>
    <row r="22" spans="1:35">
      <c r="A22" s="240">
        <v>104</v>
      </c>
      <c r="B22" s="240">
        <v>1</v>
      </c>
      <c r="C22" s="241">
        <v>5</v>
      </c>
      <c r="D22" s="52" t="s">
        <v>449</v>
      </c>
      <c r="E22" s="242">
        <v>0</v>
      </c>
      <c r="F22" s="242">
        <v>44864604.43</v>
      </c>
      <c r="G22" s="242">
        <v>-44864604.43</v>
      </c>
      <c r="H22" s="242">
        <v>0</v>
      </c>
      <c r="I22"/>
      <c r="J22" s="194">
        <f t="shared" si="1"/>
        <v>0</v>
      </c>
      <c r="K22" s="201" t="str">
        <f t="shared" si="2"/>
        <v>Efe</v>
      </c>
      <c r="L22" s="201" t="str">
        <f t="shared" si="3"/>
        <v>ok</v>
      </c>
      <c r="M22" s="202">
        <f t="shared" si="4"/>
        <v>0</v>
      </c>
      <c r="N22" s="180"/>
      <c r="O22" s="202">
        <f t="shared" si="5"/>
        <v>0</v>
      </c>
      <c r="P22" s="203"/>
      <c r="Q22"/>
      <c r="R22"/>
      <c r="S22" s="240">
        <v>104</v>
      </c>
      <c r="T22" s="240">
        <v>1</v>
      </c>
      <c r="U22" s="241">
        <v>5</v>
      </c>
      <c r="V22" s="52" t="s">
        <v>449</v>
      </c>
      <c r="W22" s="242">
        <v>0</v>
      </c>
      <c r="X22" s="242">
        <v>44864604.43</v>
      </c>
      <c r="Y22" s="242">
        <v>-44864604.43</v>
      </c>
      <c r="Z22" s="242">
        <f t="shared" si="6"/>
        <v>0</v>
      </c>
      <c r="AG22" s="20" t="str">
        <f t="shared" si="0"/>
        <v>1041INVEX CTA 0705 COBRAZA INVER</v>
      </c>
      <c r="AH22" s="20" t="str">
        <f>+VLOOKUP(AG22,Catálogo!E:F,2,0)</f>
        <v>Efectivo y equivalentes de efectivo</v>
      </c>
      <c r="AI22" s="20" t="str">
        <f>+VLOOKUP(AG22,Catálogo!E:G,3,0)</f>
        <v>Inversiones en valores realizables</v>
      </c>
    </row>
    <row r="23" spans="1:35">
      <c r="A23" s="240">
        <v>104</v>
      </c>
      <c r="B23" s="240">
        <v>1</v>
      </c>
      <c r="C23" s="241">
        <v>6</v>
      </c>
      <c r="D23" s="52" t="s">
        <v>19</v>
      </c>
      <c r="E23" s="242">
        <v>186265.41</v>
      </c>
      <c r="F23" s="242">
        <v>6332423.25</v>
      </c>
      <c r="G23" s="242">
        <v>-3352518.22</v>
      </c>
      <c r="H23" s="242">
        <v>3166170.44</v>
      </c>
      <c r="I23"/>
      <c r="J23" s="194">
        <f t="shared" si="1"/>
        <v>3166</v>
      </c>
      <c r="K23" s="201" t="str">
        <f t="shared" si="2"/>
        <v>Efe</v>
      </c>
      <c r="L23" s="201" t="str">
        <f t="shared" si="3"/>
        <v>ok</v>
      </c>
      <c r="M23" s="202">
        <f t="shared" si="4"/>
        <v>3166</v>
      </c>
      <c r="N23" s="180"/>
      <c r="O23" s="202">
        <f t="shared" si="5"/>
        <v>3166</v>
      </c>
      <c r="P23" s="203"/>
      <c r="Q23"/>
      <c r="R23"/>
      <c r="S23" s="240">
        <v>104</v>
      </c>
      <c r="T23" s="240">
        <v>1</v>
      </c>
      <c r="U23" s="241">
        <v>6</v>
      </c>
      <c r="V23" s="52" t="s">
        <v>19</v>
      </c>
      <c r="W23" s="242">
        <v>186265.41</v>
      </c>
      <c r="X23" s="242">
        <v>6332423.25</v>
      </c>
      <c r="Y23" s="242">
        <v>-3352518.22</v>
      </c>
      <c r="Z23" s="242">
        <f t="shared" si="6"/>
        <v>3166</v>
      </c>
      <c r="AG23" s="20" t="str">
        <f t="shared" si="0"/>
        <v>1041INVEX CTA 0705 COBRA INVER COMPLEMENTARI</v>
      </c>
      <c r="AH23" s="20" t="str">
        <f>+VLOOKUP(AG23,Catálogo!E:F,2,0)</f>
        <v>Efectivo y equivalentes de efectivo</v>
      </c>
      <c r="AI23" s="20" t="str">
        <f>+VLOOKUP(AG23,Catálogo!E:G,3,0)</f>
        <v>Inversiones en valores realizables</v>
      </c>
    </row>
    <row r="24" spans="1:35">
      <c r="A24" s="240">
        <v>104</v>
      </c>
      <c r="B24" s="240">
        <v>1</v>
      </c>
      <c r="C24" s="241">
        <v>7</v>
      </c>
      <c r="D24" s="52" t="s">
        <v>20</v>
      </c>
      <c r="E24" s="242">
        <v>137.49</v>
      </c>
      <c r="F24" s="242">
        <v>411</v>
      </c>
      <c r="G24" s="242">
        <v>-547.80999999999995</v>
      </c>
      <c r="H24" s="242">
        <v>0.68</v>
      </c>
      <c r="I24"/>
      <c r="J24" s="194">
        <f t="shared" si="1"/>
        <v>0</v>
      </c>
      <c r="K24" s="201" t="str">
        <f t="shared" si="2"/>
        <v>Efe</v>
      </c>
      <c r="L24" s="201" t="str">
        <f t="shared" si="3"/>
        <v>ok</v>
      </c>
      <c r="M24" s="202">
        <f t="shared" si="4"/>
        <v>0</v>
      </c>
      <c r="N24" s="180"/>
      <c r="O24" s="202">
        <f t="shared" si="5"/>
        <v>0</v>
      </c>
      <c r="P24" s="203"/>
      <c r="Q24"/>
      <c r="R24"/>
      <c r="S24" s="240">
        <v>104</v>
      </c>
      <c r="T24" s="240">
        <v>1</v>
      </c>
      <c r="U24" s="241">
        <v>7</v>
      </c>
      <c r="V24" s="52" t="s">
        <v>20</v>
      </c>
      <c r="W24" s="242">
        <v>137.49</v>
      </c>
      <c r="X24" s="242">
        <v>411</v>
      </c>
      <c r="Y24" s="242">
        <v>-547.80999999999995</v>
      </c>
      <c r="Z24" s="242">
        <f t="shared" si="6"/>
        <v>0</v>
      </c>
      <c r="AG24" s="20" t="str">
        <f t="shared" si="0"/>
        <v>1041INVEX CTA 0732 RESERVA INVER</v>
      </c>
      <c r="AH24" s="20" t="str">
        <f>+VLOOKUP(AG24,Catálogo!E:F,2,0)</f>
        <v>Efectivo y equivalentes de efectivo</v>
      </c>
      <c r="AI24" s="20" t="str">
        <f>+VLOOKUP(AG24,Catálogo!E:G,3,0)</f>
        <v>Inversiones en valores realizables</v>
      </c>
    </row>
    <row r="25" spans="1:35">
      <c r="A25" s="240">
        <v>104</v>
      </c>
      <c r="B25" s="240">
        <v>1</v>
      </c>
      <c r="C25" s="241">
        <v>8</v>
      </c>
      <c r="D25" s="52" t="s">
        <v>21</v>
      </c>
      <c r="E25" s="242">
        <v>16858653.09</v>
      </c>
      <c r="F25" s="242">
        <v>16997880.210000001</v>
      </c>
      <c r="G25" s="242">
        <v>-16858653.100000001</v>
      </c>
      <c r="H25" s="242">
        <v>16997880.199999999</v>
      </c>
      <c r="I25"/>
      <c r="J25" s="194">
        <f t="shared" si="1"/>
        <v>16998</v>
      </c>
      <c r="K25" s="201" t="str">
        <f t="shared" si="2"/>
        <v>Efe</v>
      </c>
      <c r="L25" s="201" t="str">
        <f t="shared" si="3"/>
        <v>ok</v>
      </c>
      <c r="M25" s="202">
        <f t="shared" si="4"/>
        <v>16998</v>
      </c>
      <c r="N25" s="180"/>
      <c r="O25" s="202">
        <f t="shared" si="5"/>
        <v>16998</v>
      </c>
      <c r="P25" s="203"/>
      <c r="Q25"/>
      <c r="R25"/>
      <c r="S25" s="240">
        <v>104</v>
      </c>
      <c r="T25" s="240">
        <v>1</v>
      </c>
      <c r="U25" s="241">
        <v>8</v>
      </c>
      <c r="V25" s="52" t="s">
        <v>21</v>
      </c>
      <c r="W25" s="242">
        <v>16858653.09</v>
      </c>
      <c r="X25" s="242">
        <v>16997880.210000001</v>
      </c>
      <c r="Y25" s="242">
        <v>-16858653.100000001</v>
      </c>
      <c r="Z25" s="242">
        <f t="shared" si="6"/>
        <v>16998</v>
      </c>
      <c r="AG25" s="20" t="str">
        <f t="shared" si="0"/>
        <v>1041INVEX CTA 0732 RESERVA INVER COMPLEMENTA</v>
      </c>
      <c r="AH25" s="20" t="str">
        <f>+VLOOKUP(AG25,Catálogo!E:F,2,0)</f>
        <v>Efectivo y equivalentes de efectivo</v>
      </c>
      <c r="AI25" s="20" t="str">
        <f>+VLOOKUP(AG25,Catálogo!E:G,3,0)</f>
        <v>Inversiones en valores realizables</v>
      </c>
    </row>
    <row r="26" spans="1:35">
      <c r="A26" s="240">
        <v>109</v>
      </c>
      <c r="B26" s="240">
        <v>0</v>
      </c>
      <c r="C26" s="241">
        <v>0</v>
      </c>
      <c r="D26" s="52" t="s">
        <v>24</v>
      </c>
      <c r="E26" s="242">
        <v>28247873.329999998</v>
      </c>
      <c r="F26" s="242">
        <v>2399820.37</v>
      </c>
      <c r="G26" s="242">
        <v>-11816668.99</v>
      </c>
      <c r="H26" s="242">
        <v>18831024.710000001</v>
      </c>
      <c r="I26"/>
      <c r="J26" s="194">
        <f t="shared" si="1"/>
        <v>18831</v>
      </c>
      <c r="K26" s="201">
        <f t="shared" si="2"/>
        <v>0</v>
      </c>
      <c r="L26" s="201">
        <f t="shared" si="3"/>
        <v>0</v>
      </c>
      <c r="M26" s="202">
        <f t="shared" si="4"/>
        <v>0</v>
      </c>
      <c r="N26" s="180"/>
      <c r="O26" s="202">
        <f t="shared" si="5"/>
        <v>0</v>
      </c>
      <c r="P26" s="203"/>
      <c r="Q26"/>
      <c r="R26"/>
      <c r="S26" s="240">
        <v>109</v>
      </c>
      <c r="T26" s="240">
        <v>0</v>
      </c>
      <c r="U26" s="241">
        <v>0</v>
      </c>
      <c r="V26" s="52" t="s">
        <v>24</v>
      </c>
      <c r="W26" s="242">
        <v>28247873.329999998</v>
      </c>
      <c r="X26" s="242">
        <v>2399820.37</v>
      </c>
      <c r="Y26" s="242">
        <v>-11816668.99</v>
      </c>
      <c r="Z26" s="242">
        <f t="shared" si="6"/>
        <v>0</v>
      </c>
      <c r="AG26" s="20" t="str">
        <f t="shared" si="0"/>
        <v>1090DEUDORES DIVERSOS</v>
      </c>
      <c r="AH26" s="20" t="e">
        <f>+VLOOKUP(AG26,Catálogo!E:F,2,0)</f>
        <v>#N/A</v>
      </c>
      <c r="AI26" s="20">
        <f>+VLOOKUP(AG26,Catálogo!E:G,3,0)</f>
        <v>0</v>
      </c>
    </row>
    <row r="27" spans="1:35">
      <c r="A27" s="240">
        <v>109</v>
      </c>
      <c r="B27" s="240">
        <v>1</v>
      </c>
      <c r="C27" s="241">
        <v>0</v>
      </c>
      <c r="D27" s="52" t="s">
        <v>25</v>
      </c>
      <c r="E27" s="242">
        <v>28247873.329999998</v>
      </c>
      <c r="F27" s="242">
        <v>2399820.37</v>
      </c>
      <c r="G27" s="242">
        <v>-11816668.99</v>
      </c>
      <c r="H27" s="242">
        <v>18831024.710000001</v>
      </c>
      <c r="I27"/>
      <c r="J27" s="194">
        <f t="shared" si="1"/>
        <v>18831</v>
      </c>
      <c r="K27" s="201" t="str">
        <f t="shared" si="2"/>
        <v>Deu</v>
      </c>
      <c r="L27" s="201" t="str">
        <f t="shared" si="3"/>
        <v>ok</v>
      </c>
      <c r="M27" s="202">
        <f t="shared" si="4"/>
        <v>18831</v>
      </c>
      <c r="N27" s="180">
        <v>1</v>
      </c>
      <c r="O27" s="202">
        <f t="shared" si="5"/>
        <v>18832</v>
      </c>
      <c r="P27" s="203"/>
      <c r="Q27"/>
      <c r="R27"/>
      <c r="S27" s="240">
        <v>109</v>
      </c>
      <c r="T27" s="240">
        <v>1</v>
      </c>
      <c r="U27" s="241">
        <v>0</v>
      </c>
      <c r="V27" s="52" t="s">
        <v>25</v>
      </c>
      <c r="W27" s="242">
        <v>28247873.329999998</v>
      </c>
      <c r="X27" s="242">
        <v>2399820.37</v>
      </c>
      <c r="Y27" s="242">
        <v>-11816668.99</v>
      </c>
      <c r="Z27" s="242">
        <f t="shared" si="6"/>
        <v>18832</v>
      </c>
      <c r="AG27" s="20" t="str">
        <f t="shared" si="0"/>
        <v>1091DEUDORES DIVERSOS M.N.</v>
      </c>
      <c r="AH27" s="20" t="str">
        <f>+VLOOKUP(AG27,Catálogo!E:F,2,0)</f>
        <v>Deudores diversos y otras cuentas por cobrar</v>
      </c>
      <c r="AI27" s="71"/>
    </row>
    <row r="28" spans="1:35">
      <c r="A28" s="240">
        <v>113</v>
      </c>
      <c r="B28" s="240">
        <v>0</v>
      </c>
      <c r="C28" s="241">
        <v>0</v>
      </c>
      <c r="D28" s="52" t="s">
        <v>26</v>
      </c>
      <c r="E28" s="242">
        <v>271215.90999999997</v>
      </c>
      <c r="F28" s="242">
        <v>19646.59</v>
      </c>
      <c r="G28" s="242">
        <v>0</v>
      </c>
      <c r="H28" s="242">
        <v>290862.5</v>
      </c>
      <c r="I28"/>
      <c r="J28" s="194">
        <f t="shared" si="1"/>
        <v>291</v>
      </c>
      <c r="K28" s="201">
        <f t="shared" si="2"/>
        <v>0</v>
      </c>
      <c r="L28" s="201">
        <f t="shared" si="3"/>
        <v>0</v>
      </c>
      <c r="M28" s="202">
        <f t="shared" si="4"/>
        <v>0</v>
      </c>
      <c r="O28" s="202">
        <f t="shared" si="5"/>
        <v>0</v>
      </c>
      <c r="P28" s="203"/>
      <c r="Q28"/>
      <c r="R28"/>
      <c r="S28" s="240">
        <v>113</v>
      </c>
      <c r="T28" s="240">
        <v>0</v>
      </c>
      <c r="U28" s="241">
        <v>0</v>
      </c>
      <c r="V28" s="52" t="s">
        <v>26</v>
      </c>
      <c r="W28" s="242">
        <v>271215.90999999997</v>
      </c>
      <c r="X28" s="242">
        <v>19646.59</v>
      </c>
      <c r="Y28" s="242">
        <v>0</v>
      </c>
      <c r="Z28" s="242">
        <f t="shared" si="6"/>
        <v>0</v>
      </c>
      <c r="AG28" s="20" t="str">
        <f t="shared" si="0"/>
        <v>1130ANTICIPO DE IMPUESTOS</v>
      </c>
      <c r="AH28" s="20" t="e">
        <f>+VLOOKUP(AG28,Catálogo!E:F,2,0)</f>
        <v>#N/A</v>
      </c>
      <c r="AI28" s="20">
        <f>+VLOOKUP(AG28,Catálogo!E:G,3,0)</f>
        <v>0</v>
      </c>
    </row>
    <row r="29" spans="1:35">
      <c r="A29" s="240">
        <v>113</v>
      </c>
      <c r="B29" s="240">
        <v>1</v>
      </c>
      <c r="C29" s="241">
        <v>0</v>
      </c>
      <c r="D29" s="52" t="s">
        <v>27</v>
      </c>
      <c r="E29" s="242">
        <v>271215.90999999997</v>
      </c>
      <c r="F29" s="242">
        <v>19646.59</v>
      </c>
      <c r="G29" s="242">
        <v>0</v>
      </c>
      <c r="H29" s="242">
        <v>290862.5</v>
      </c>
      <c r="I29"/>
      <c r="J29" s="194">
        <f t="shared" si="1"/>
        <v>291</v>
      </c>
      <c r="K29" s="201">
        <f t="shared" si="2"/>
        <v>0</v>
      </c>
      <c r="L29" s="201">
        <f t="shared" si="3"/>
        <v>0</v>
      </c>
      <c r="M29" s="202">
        <f t="shared" si="4"/>
        <v>0</v>
      </c>
      <c r="N29" s="180"/>
      <c r="O29" s="202">
        <f t="shared" si="5"/>
        <v>0</v>
      </c>
      <c r="P29" s="203"/>
      <c r="Q29"/>
      <c r="R29"/>
      <c r="S29" s="240">
        <v>113</v>
      </c>
      <c r="T29" s="240">
        <v>1</v>
      </c>
      <c r="U29" s="241">
        <v>0</v>
      </c>
      <c r="V29" s="52" t="s">
        <v>27</v>
      </c>
      <c r="W29" s="242">
        <v>271215.90999999997</v>
      </c>
      <c r="X29" s="242">
        <v>19646.59</v>
      </c>
      <c r="Y29" s="242">
        <v>0</v>
      </c>
      <c r="Z29" s="242">
        <f t="shared" si="6"/>
        <v>0</v>
      </c>
      <c r="AG29" s="20" t="str">
        <f t="shared" si="0"/>
        <v>1131ISR</v>
      </c>
      <c r="AH29" s="20" t="e">
        <f>+VLOOKUP(AG29,Catálogo!E:F,2,0)</f>
        <v>#N/A</v>
      </c>
      <c r="AI29" s="20">
        <f>+VLOOKUP(AG29,Catálogo!E:G,3,0)</f>
        <v>0</v>
      </c>
    </row>
    <row r="30" spans="1:35">
      <c r="A30" s="240">
        <v>113</v>
      </c>
      <c r="B30" s="240">
        <v>1</v>
      </c>
      <c r="C30" s="241">
        <v>1</v>
      </c>
      <c r="D30" s="52" t="s">
        <v>28</v>
      </c>
      <c r="E30" s="242">
        <v>12.15</v>
      </c>
      <c r="F30" s="242">
        <v>0</v>
      </c>
      <c r="G30" s="242">
        <v>0</v>
      </c>
      <c r="H30" s="242">
        <v>12.15</v>
      </c>
      <c r="I30"/>
      <c r="J30" s="194">
        <f t="shared" si="1"/>
        <v>0</v>
      </c>
      <c r="K30" s="201" t="str">
        <f t="shared" si="2"/>
        <v>Imp</v>
      </c>
      <c r="L30" s="201" t="str">
        <f t="shared" si="3"/>
        <v>ok</v>
      </c>
      <c r="M30" s="202">
        <f t="shared" si="4"/>
        <v>0</v>
      </c>
      <c r="N30" s="180"/>
      <c r="O30" s="202">
        <f t="shared" si="5"/>
        <v>0</v>
      </c>
      <c r="P30" s="203"/>
      <c r="Q30"/>
      <c r="R30"/>
      <c r="S30" s="240">
        <v>113</v>
      </c>
      <c r="T30" s="240">
        <v>1</v>
      </c>
      <c r="U30" s="241">
        <v>1</v>
      </c>
      <c r="V30" s="52" t="s">
        <v>28</v>
      </c>
      <c r="W30" s="242">
        <v>12.15</v>
      </c>
      <c r="X30" s="242">
        <v>0</v>
      </c>
      <c r="Y30" s="242">
        <v>0</v>
      </c>
      <c r="Z30" s="242">
        <f t="shared" si="6"/>
        <v>0</v>
      </c>
      <c r="AG30" s="20" t="str">
        <f t="shared" si="0"/>
        <v>1131ISR PAGO PROVISIONALES</v>
      </c>
      <c r="AH30" s="20" t="str">
        <f>+VLOOKUP(AG30,Catálogo!E:F,2,0)</f>
        <v>Impuestos por recuperar</v>
      </c>
      <c r="AI30" s="20" t="str">
        <f>+VLOOKUP(AG30,Catálogo!E:G,3,0)</f>
        <v>ISR Retenido</v>
      </c>
    </row>
    <row r="31" spans="1:35">
      <c r="A31" s="240">
        <v>113</v>
      </c>
      <c r="B31" s="240">
        <v>1</v>
      </c>
      <c r="C31" s="241">
        <v>2</v>
      </c>
      <c r="D31" s="52" t="s">
        <v>30</v>
      </c>
      <c r="E31" s="242">
        <v>271203.76</v>
      </c>
      <c r="F31" s="242">
        <v>19646.59</v>
      </c>
      <c r="G31" s="242">
        <v>0</v>
      </c>
      <c r="H31" s="242">
        <v>290850.34999999998</v>
      </c>
      <c r="I31"/>
      <c r="J31" s="194">
        <f t="shared" si="1"/>
        <v>291</v>
      </c>
      <c r="K31" s="201" t="str">
        <f t="shared" si="2"/>
        <v>Imp</v>
      </c>
      <c r="L31" s="201" t="str">
        <f t="shared" si="3"/>
        <v>ok</v>
      </c>
      <c r="M31" s="202">
        <f t="shared" si="4"/>
        <v>291</v>
      </c>
      <c r="N31" s="180"/>
      <c r="O31" s="202">
        <f t="shared" si="5"/>
        <v>291</v>
      </c>
      <c r="P31" s="203"/>
      <c r="Q31"/>
      <c r="R31"/>
      <c r="S31" s="240">
        <v>113</v>
      </c>
      <c r="T31" s="240">
        <v>1</v>
      </c>
      <c r="U31" s="241">
        <v>2</v>
      </c>
      <c r="V31" s="52" t="s">
        <v>30</v>
      </c>
      <c r="W31" s="242">
        <v>271203.76</v>
      </c>
      <c r="X31" s="242">
        <v>19646.59</v>
      </c>
      <c r="Y31" s="242">
        <v>0</v>
      </c>
      <c r="Z31" s="242">
        <f t="shared" si="6"/>
        <v>291</v>
      </c>
      <c r="AG31" s="20" t="str">
        <f t="shared" si="0"/>
        <v>1131ISR RETENCIONES BANCOS</v>
      </c>
      <c r="AH31" s="20" t="str">
        <f>+VLOOKUP(AG31,Catálogo!E:F,2,0)</f>
        <v>Impuestos por recuperar</v>
      </c>
      <c r="AI31" s="20" t="str">
        <f>+VLOOKUP(AG31,Catálogo!E:G,3,0)</f>
        <v>ISR Retenido</v>
      </c>
    </row>
    <row r="32" spans="1:35">
      <c r="A32" s="240">
        <v>114</v>
      </c>
      <c r="B32" s="240">
        <v>0</v>
      </c>
      <c r="C32" s="241">
        <v>0</v>
      </c>
      <c r="D32" s="52" t="s">
        <v>31</v>
      </c>
      <c r="E32" s="242">
        <v>70226018.959999993</v>
      </c>
      <c r="F32" s="242">
        <v>2414987.6800000002</v>
      </c>
      <c r="G32" s="242">
        <v>-176335.02</v>
      </c>
      <c r="H32" s="242">
        <v>72464671.620000005</v>
      </c>
      <c r="I32"/>
      <c r="J32" s="194">
        <f t="shared" si="1"/>
        <v>72465</v>
      </c>
      <c r="K32" s="201">
        <f t="shared" si="2"/>
        <v>0</v>
      </c>
      <c r="L32" s="201">
        <f t="shared" si="3"/>
        <v>0</v>
      </c>
      <c r="M32" s="202">
        <f t="shared" si="4"/>
        <v>0</v>
      </c>
      <c r="N32" s="180"/>
      <c r="O32" s="202">
        <f t="shared" si="5"/>
        <v>0</v>
      </c>
      <c r="P32" s="203"/>
      <c r="Q32"/>
      <c r="R32"/>
      <c r="S32" s="240">
        <v>114</v>
      </c>
      <c r="T32" s="240">
        <v>0</v>
      </c>
      <c r="U32" s="241">
        <v>0</v>
      </c>
      <c r="V32" s="52" t="s">
        <v>31</v>
      </c>
      <c r="W32" s="242">
        <v>70226018.959999993</v>
      </c>
      <c r="X32" s="242">
        <v>2414987.6800000002</v>
      </c>
      <c r="Y32" s="242">
        <v>-176335.02</v>
      </c>
      <c r="Z32" s="242">
        <f t="shared" si="6"/>
        <v>0</v>
      </c>
      <c r="AG32" s="20" t="str">
        <f t="shared" si="0"/>
        <v>1140IMPUESTOS A FAVOR</v>
      </c>
      <c r="AH32" s="20" t="e">
        <f>+VLOOKUP(AG32,Catálogo!E:F,2,0)</f>
        <v>#N/A</v>
      </c>
      <c r="AI32" s="20">
        <f>+VLOOKUP(AG32,Catálogo!E:G,3,0)</f>
        <v>0</v>
      </c>
    </row>
    <row r="33" spans="1:35">
      <c r="A33" s="240">
        <v>114</v>
      </c>
      <c r="B33" s="240">
        <v>1</v>
      </c>
      <c r="C33" s="241">
        <v>0</v>
      </c>
      <c r="D33" s="52" t="s">
        <v>32</v>
      </c>
      <c r="E33" s="242">
        <v>70226018.959999993</v>
      </c>
      <c r="F33" s="242">
        <v>2414987.6800000002</v>
      </c>
      <c r="G33" s="242">
        <v>-176335.02</v>
      </c>
      <c r="H33" s="242">
        <v>72464671.620000005</v>
      </c>
      <c r="I33"/>
      <c r="J33" s="194">
        <f t="shared" si="1"/>
        <v>72465</v>
      </c>
      <c r="K33" s="201">
        <f t="shared" si="2"/>
        <v>0</v>
      </c>
      <c r="L33" s="201">
        <f t="shared" si="3"/>
        <v>0</v>
      </c>
      <c r="M33" s="202">
        <f t="shared" si="4"/>
        <v>0</v>
      </c>
      <c r="N33" s="180"/>
      <c r="O33" s="202">
        <f t="shared" si="5"/>
        <v>0</v>
      </c>
      <c r="P33" s="203"/>
      <c r="Q33"/>
      <c r="R33"/>
      <c r="S33" s="240">
        <v>114</v>
      </c>
      <c r="T33" s="240">
        <v>1</v>
      </c>
      <c r="U33" s="241">
        <v>0</v>
      </c>
      <c r="V33" s="52" t="s">
        <v>32</v>
      </c>
      <c r="W33" s="242">
        <v>70226018.959999993</v>
      </c>
      <c r="X33" s="242">
        <v>2414987.6800000002</v>
      </c>
      <c r="Y33" s="242">
        <v>-176335.02</v>
      </c>
      <c r="Z33" s="242">
        <f t="shared" si="6"/>
        <v>0</v>
      </c>
      <c r="AG33" s="20" t="str">
        <f t="shared" si="0"/>
        <v>1141IVA SALDO A FAVOR</v>
      </c>
      <c r="AH33" s="20" t="e">
        <f>+VLOOKUP(AG33,Catálogo!E:F,2,0)</f>
        <v>#N/A</v>
      </c>
      <c r="AI33" s="20">
        <f>+VLOOKUP(AG33,Catálogo!E:G,3,0)</f>
        <v>0</v>
      </c>
    </row>
    <row r="34" spans="1:35">
      <c r="A34" s="240">
        <v>114</v>
      </c>
      <c r="B34" s="240">
        <v>1</v>
      </c>
      <c r="C34" s="241">
        <v>1</v>
      </c>
      <c r="D34" s="52" t="s">
        <v>33</v>
      </c>
      <c r="E34" s="242">
        <v>70226018.959999993</v>
      </c>
      <c r="F34" s="242">
        <v>2414987.6800000002</v>
      </c>
      <c r="G34" s="242">
        <v>-176335.02</v>
      </c>
      <c r="H34" s="242">
        <v>72464671.620000005</v>
      </c>
      <c r="I34"/>
      <c r="J34" s="194">
        <f t="shared" si="1"/>
        <v>72465</v>
      </c>
      <c r="K34" s="201" t="str">
        <f t="shared" si="2"/>
        <v>Inv</v>
      </c>
      <c r="L34" s="201" t="str">
        <f t="shared" si="3"/>
        <v>ok</v>
      </c>
      <c r="M34" s="202">
        <f t="shared" si="4"/>
        <v>72465</v>
      </c>
      <c r="N34" s="180"/>
      <c r="O34" s="202">
        <f t="shared" si="5"/>
        <v>72465</v>
      </c>
      <c r="P34" s="203"/>
      <c r="Q34"/>
      <c r="R34"/>
      <c r="S34" s="240">
        <v>114</v>
      </c>
      <c r="T34" s="240">
        <v>1</v>
      </c>
      <c r="U34" s="241">
        <v>1</v>
      </c>
      <c r="V34" s="52" t="s">
        <v>33</v>
      </c>
      <c r="W34" s="242">
        <v>70226018.959999993</v>
      </c>
      <c r="X34" s="242">
        <v>2414987.6800000002</v>
      </c>
      <c r="Y34" s="242">
        <v>-176335.02</v>
      </c>
      <c r="Z34" s="242">
        <f t="shared" si="6"/>
        <v>72465</v>
      </c>
      <c r="AG34" s="20" t="str">
        <f t="shared" si="0"/>
        <v>1141IVA SALDO A FAVOR AL 16%</v>
      </c>
      <c r="AH34" s="20" t="str">
        <f>+VLOOKUP(AG34,Catálogo!E:F,2,0)</f>
        <v xml:space="preserve">Inventarios inmobiliarios y costos pagados por anticipado </v>
      </c>
      <c r="AI34" s="20" t="str">
        <f>+VLOOKUP(AG34,Catálogo!E:G,3,0)</f>
        <v>Impuesto al Valor Agregado</v>
      </c>
    </row>
    <row r="35" spans="1:35">
      <c r="A35" s="240">
        <v>115</v>
      </c>
      <c r="B35" s="240">
        <v>0</v>
      </c>
      <c r="C35" s="241">
        <v>0</v>
      </c>
      <c r="D35" s="52" t="s">
        <v>34</v>
      </c>
      <c r="E35" s="242">
        <v>6602611.3499999996</v>
      </c>
      <c r="F35" s="242">
        <v>2054143.33</v>
      </c>
      <c r="G35" s="242">
        <v>-2447241.64</v>
      </c>
      <c r="H35" s="242">
        <v>6209513.04</v>
      </c>
      <c r="I35"/>
      <c r="J35" s="194">
        <f t="shared" si="1"/>
        <v>6210</v>
      </c>
      <c r="K35" s="201">
        <f t="shared" si="2"/>
        <v>0</v>
      </c>
      <c r="L35" s="201">
        <f t="shared" si="3"/>
        <v>0</v>
      </c>
      <c r="M35" s="202">
        <f t="shared" si="4"/>
        <v>0</v>
      </c>
      <c r="N35" s="180"/>
      <c r="O35" s="202">
        <f t="shared" si="5"/>
        <v>0</v>
      </c>
      <c r="P35" s="203"/>
      <c r="Q35"/>
      <c r="R35"/>
      <c r="S35" s="240">
        <v>115</v>
      </c>
      <c r="T35" s="240">
        <v>0</v>
      </c>
      <c r="U35" s="241">
        <v>0</v>
      </c>
      <c r="V35" s="52" t="s">
        <v>34</v>
      </c>
      <c r="W35" s="242">
        <v>6602611.3499999996</v>
      </c>
      <c r="X35" s="242">
        <v>2054143.33</v>
      </c>
      <c r="Y35" s="242">
        <v>-2447241.64</v>
      </c>
      <c r="Z35" s="242">
        <f t="shared" si="6"/>
        <v>0</v>
      </c>
      <c r="AG35" s="20" t="str">
        <f t="shared" si="0"/>
        <v>1150IMPUESTOS A FAVOR NO CAUSADO</v>
      </c>
      <c r="AH35" s="20" t="e">
        <f>+VLOOKUP(AG35,Catálogo!E:F,2,0)</f>
        <v>#N/A</v>
      </c>
      <c r="AI35" s="20">
        <f>+VLOOKUP(AG35,Catálogo!E:G,3,0)</f>
        <v>0</v>
      </c>
    </row>
    <row r="36" spans="1:35">
      <c r="A36" s="240">
        <v>115</v>
      </c>
      <c r="B36" s="240">
        <v>1</v>
      </c>
      <c r="C36" s="241">
        <v>0</v>
      </c>
      <c r="D36" s="52" t="s">
        <v>35</v>
      </c>
      <c r="E36" s="242">
        <v>6602611.3499999996</v>
      </c>
      <c r="F36" s="242">
        <v>2054143.33</v>
      </c>
      <c r="G36" s="242">
        <v>-2447241.64</v>
      </c>
      <c r="H36" s="242">
        <v>6209513.04</v>
      </c>
      <c r="I36"/>
      <c r="J36" s="194">
        <f t="shared" si="1"/>
        <v>6210</v>
      </c>
      <c r="K36" s="201">
        <f t="shared" si="2"/>
        <v>0</v>
      </c>
      <c r="L36" s="201">
        <f t="shared" si="3"/>
        <v>0</v>
      </c>
      <c r="M36" s="202">
        <f t="shared" si="4"/>
        <v>0</v>
      </c>
      <c r="N36" s="180"/>
      <c r="O36" s="202">
        <f t="shared" si="5"/>
        <v>0</v>
      </c>
      <c r="P36" s="203"/>
      <c r="Q36"/>
      <c r="R36"/>
      <c r="S36" s="240">
        <v>115</v>
      </c>
      <c r="T36" s="240">
        <v>1</v>
      </c>
      <c r="U36" s="241">
        <v>0</v>
      </c>
      <c r="V36" s="52" t="s">
        <v>35</v>
      </c>
      <c r="W36" s="242">
        <v>6602611.3499999996</v>
      </c>
      <c r="X36" s="242">
        <v>2054143.33</v>
      </c>
      <c r="Y36" s="242">
        <v>-2447241.64</v>
      </c>
      <c r="Z36" s="242">
        <f t="shared" si="6"/>
        <v>0</v>
      </c>
      <c r="AG36" s="20" t="str">
        <f t="shared" si="0"/>
        <v>1151IVA ACREDITABLE NO PAGADO</v>
      </c>
      <c r="AH36" s="20" t="e">
        <f>+VLOOKUP(AG36,Catálogo!E:F,2,0)</f>
        <v>#N/A</v>
      </c>
      <c r="AI36" s="20">
        <f>+VLOOKUP(AG36,Catálogo!E:G,3,0)</f>
        <v>0</v>
      </c>
    </row>
    <row r="37" spans="1:35">
      <c r="A37" s="240">
        <v>115</v>
      </c>
      <c r="B37" s="240">
        <v>1</v>
      </c>
      <c r="C37" s="241">
        <v>1</v>
      </c>
      <c r="D37" s="52" t="s">
        <v>36</v>
      </c>
      <c r="E37" s="242">
        <v>6602611.3499999996</v>
      </c>
      <c r="F37" s="242">
        <v>2054143.33</v>
      </c>
      <c r="G37" s="242">
        <v>-2447241.64</v>
      </c>
      <c r="H37" s="242">
        <v>6209513.04</v>
      </c>
      <c r="I37"/>
      <c r="J37" s="194">
        <f t="shared" si="1"/>
        <v>6210</v>
      </c>
      <c r="K37" s="201" t="str">
        <f t="shared" si="2"/>
        <v>Deu</v>
      </c>
      <c r="L37" s="201" t="str">
        <f t="shared" si="3"/>
        <v>ok</v>
      </c>
      <c r="M37" s="202">
        <f t="shared" si="4"/>
        <v>6210</v>
      </c>
      <c r="N37" s="180"/>
      <c r="O37" s="202">
        <f t="shared" si="5"/>
        <v>6210</v>
      </c>
      <c r="P37" s="203"/>
      <c r="Q37"/>
      <c r="R37"/>
      <c r="S37" s="240">
        <v>115</v>
      </c>
      <c r="T37" s="240">
        <v>1</v>
      </c>
      <c r="U37" s="241">
        <v>1</v>
      </c>
      <c r="V37" s="52" t="s">
        <v>36</v>
      </c>
      <c r="W37" s="242">
        <v>6602611.3499999996</v>
      </c>
      <c r="X37" s="242">
        <v>2054143.33</v>
      </c>
      <c r="Y37" s="242">
        <v>-2447241.64</v>
      </c>
      <c r="Z37" s="242">
        <f t="shared" si="6"/>
        <v>6210</v>
      </c>
      <c r="AG37" s="20" t="str">
        <f t="shared" si="0"/>
        <v>1151IVA ACREDITABLE NO PAGADO AL 16%</v>
      </c>
      <c r="AH37" s="20" t="str">
        <f>+VLOOKUP(AG37,Catálogo!E:F,2,0)</f>
        <v>Deudores diversos y otras cuentas por cobrar</v>
      </c>
      <c r="AI37" s="20">
        <f>+VLOOKUP(AG37,Catálogo!E:G,3,0)</f>
        <v>0</v>
      </c>
    </row>
    <row r="38" spans="1:35">
      <c r="A38" s="240">
        <v>118</v>
      </c>
      <c r="B38" s="240">
        <v>0</v>
      </c>
      <c r="C38" s="241">
        <v>0</v>
      </c>
      <c r="D38" s="52" t="s">
        <v>531</v>
      </c>
      <c r="E38" s="242">
        <v>0</v>
      </c>
      <c r="F38" s="242">
        <v>250000</v>
      </c>
      <c r="G38" s="242">
        <v>-21232.880000000001</v>
      </c>
      <c r="H38" s="242">
        <v>228767.12</v>
      </c>
      <c r="I38"/>
      <c r="J38" s="194">
        <f t="shared" si="1"/>
        <v>229</v>
      </c>
      <c r="K38" s="201" t="str">
        <f t="shared" si="2"/>
        <v>0</v>
      </c>
      <c r="L38" s="201">
        <f t="shared" si="3"/>
        <v>0</v>
      </c>
      <c r="M38" s="202">
        <f t="shared" si="4"/>
        <v>0</v>
      </c>
      <c r="N38" s="180"/>
      <c r="O38" s="202">
        <f t="shared" si="5"/>
        <v>0</v>
      </c>
      <c r="P38" s="203"/>
      <c r="Q38"/>
      <c r="R38"/>
      <c r="S38" s="240">
        <v>118</v>
      </c>
      <c r="T38" s="240">
        <v>0</v>
      </c>
      <c r="U38" s="241">
        <v>0</v>
      </c>
      <c r="V38" s="52" t="s">
        <v>531</v>
      </c>
      <c r="W38" s="242">
        <v>0</v>
      </c>
      <c r="X38" s="242">
        <v>250000</v>
      </c>
      <c r="Y38" s="242">
        <v>-21232.880000000001</v>
      </c>
      <c r="Z38" s="242">
        <f t="shared" si="6"/>
        <v>0</v>
      </c>
      <c r="AG38" s="20" t="str">
        <f t="shared" si="0"/>
        <v>1180PAGOS ANTICIPADOS</v>
      </c>
      <c r="AH38" s="20">
        <f>+VLOOKUP(AG38,Catálogo!E:F,2,0)</f>
        <v>0</v>
      </c>
      <c r="AI38" s="20">
        <f>+VLOOKUP(AG38,Catálogo!E:G,3,0)</f>
        <v>0</v>
      </c>
    </row>
    <row r="39" spans="1:35">
      <c r="A39" s="240">
        <v>118</v>
      </c>
      <c r="B39" s="240">
        <v>2</v>
      </c>
      <c r="C39" s="241">
        <v>0</v>
      </c>
      <c r="D39" s="52" t="s">
        <v>77</v>
      </c>
      <c r="E39" s="242">
        <v>0</v>
      </c>
      <c r="F39" s="242">
        <v>250000</v>
      </c>
      <c r="G39" s="242">
        <v>-21232.880000000001</v>
      </c>
      <c r="H39" s="242">
        <v>228767.12</v>
      </c>
      <c r="I39"/>
      <c r="J39" s="194">
        <f t="shared" si="1"/>
        <v>229</v>
      </c>
      <c r="K39" s="201" t="str">
        <f t="shared" si="2"/>
        <v>0</v>
      </c>
      <c r="L39" s="201">
        <f t="shared" si="3"/>
        <v>0</v>
      </c>
      <c r="M39" s="202">
        <f t="shared" si="4"/>
        <v>0</v>
      </c>
      <c r="N39" s="180"/>
      <c r="O39" s="202">
        <f t="shared" si="5"/>
        <v>0</v>
      </c>
      <c r="P39" s="203"/>
      <c r="Q39"/>
      <c r="R39"/>
      <c r="S39" s="240">
        <v>118</v>
      </c>
      <c r="T39" s="240">
        <v>2</v>
      </c>
      <c r="U39" s="241">
        <v>0</v>
      </c>
      <c r="V39" s="52" t="s">
        <v>77</v>
      </c>
      <c r="W39" s="242">
        <v>0</v>
      </c>
      <c r="X39" s="242">
        <v>250000</v>
      </c>
      <c r="Y39" s="242">
        <v>-21232.880000000001</v>
      </c>
      <c r="Z39" s="242">
        <f t="shared" si="6"/>
        <v>0</v>
      </c>
      <c r="AG39" s="20" t="str">
        <f t="shared" si="0"/>
        <v>1182PROVEEDORES</v>
      </c>
      <c r="AH39" s="20">
        <f>+VLOOKUP(AG39,Catálogo!E:F,2,0)</f>
        <v>0</v>
      </c>
      <c r="AI39" s="20">
        <f>+VLOOKUP(AG39,Catálogo!E:G,3,0)</f>
        <v>0</v>
      </c>
    </row>
    <row r="40" spans="1:35">
      <c r="A40" s="240">
        <v>118</v>
      </c>
      <c r="B40" s="240">
        <v>2</v>
      </c>
      <c r="C40" s="241">
        <v>3</v>
      </c>
      <c r="D40" s="52" t="s">
        <v>532</v>
      </c>
      <c r="E40" s="242">
        <v>0</v>
      </c>
      <c r="F40" s="242">
        <v>250000</v>
      </c>
      <c r="G40" s="242">
        <v>-21232.880000000001</v>
      </c>
      <c r="H40" s="242">
        <v>228767.12</v>
      </c>
      <c r="I40"/>
      <c r="J40" s="194">
        <f t="shared" si="1"/>
        <v>229</v>
      </c>
      <c r="K40" s="201" t="str">
        <f t="shared" si="2"/>
        <v>Inv</v>
      </c>
      <c r="L40" s="201" t="str">
        <f t="shared" si="3"/>
        <v>ok</v>
      </c>
      <c r="M40" s="202">
        <f t="shared" si="4"/>
        <v>229</v>
      </c>
      <c r="N40" s="180"/>
      <c r="O40" s="202">
        <f t="shared" si="5"/>
        <v>229</v>
      </c>
      <c r="P40" s="203"/>
      <c r="Q40"/>
      <c r="R40"/>
      <c r="S40" s="240">
        <v>118</v>
      </c>
      <c r="T40" s="240">
        <v>2</v>
      </c>
      <c r="U40" s="241">
        <v>3</v>
      </c>
      <c r="V40" s="52" t="s">
        <v>532</v>
      </c>
      <c r="W40" s="242">
        <v>0</v>
      </c>
      <c r="X40" s="242">
        <v>250000</v>
      </c>
      <c r="Y40" s="242">
        <v>-21232.880000000001</v>
      </c>
      <c r="Z40" s="242">
        <f t="shared" si="6"/>
        <v>229</v>
      </c>
      <c r="AG40" s="20" t="str">
        <f t="shared" si="0"/>
        <v xml:space="preserve">1182BANCO ACTINVER </v>
      </c>
      <c r="AH40" s="20" t="str">
        <f>+VLOOKUP(AG40,Catálogo!E:F,2,0)</f>
        <v xml:space="preserve">Inventarios inmobiliarios y costos pagados por anticipado </v>
      </c>
      <c r="AI40" s="20" t="str">
        <f>+VLOOKUP(AG40,Catálogo!E:G,3,0)</f>
        <v>Otros pagos anticipados (v)</v>
      </c>
    </row>
    <row r="41" spans="1:35">
      <c r="A41" s="240">
        <v>120</v>
      </c>
      <c r="B41" s="240">
        <v>0</v>
      </c>
      <c r="C41" s="241">
        <v>0</v>
      </c>
      <c r="D41" s="52" t="s">
        <v>37</v>
      </c>
      <c r="E41" s="242">
        <v>25625314.02</v>
      </c>
      <c r="F41" s="242">
        <v>300000</v>
      </c>
      <c r="G41" s="242">
        <v>-151190.49</v>
      </c>
      <c r="H41" s="242">
        <v>25774123.530000001</v>
      </c>
      <c r="I41"/>
      <c r="J41" s="194">
        <f t="shared" si="1"/>
        <v>25774</v>
      </c>
      <c r="K41" s="201">
        <f t="shared" si="2"/>
        <v>0</v>
      </c>
      <c r="L41" s="201">
        <f t="shared" si="3"/>
        <v>0</v>
      </c>
      <c r="M41" s="202">
        <f t="shared" si="4"/>
        <v>0</v>
      </c>
      <c r="N41" s="180"/>
      <c r="O41" s="202">
        <f t="shared" si="5"/>
        <v>0</v>
      </c>
      <c r="P41" s="203"/>
      <c r="Q41"/>
      <c r="R41"/>
      <c r="S41" s="240">
        <v>120</v>
      </c>
      <c r="T41" s="240">
        <v>0</v>
      </c>
      <c r="U41" s="241">
        <v>0</v>
      </c>
      <c r="V41" s="52" t="s">
        <v>37</v>
      </c>
      <c r="W41" s="242">
        <v>25625314.02</v>
      </c>
      <c r="X41" s="242">
        <v>300000</v>
      </c>
      <c r="Y41" s="242">
        <v>-151190.49</v>
      </c>
      <c r="Z41" s="242">
        <f t="shared" si="6"/>
        <v>0</v>
      </c>
      <c r="AG41" s="20" t="str">
        <f t="shared" si="0"/>
        <v>1200ANTICIPOS CONSTRUCCION</v>
      </c>
      <c r="AH41" s="20" t="e">
        <f>+VLOOKUP(AG41,Catálogo!E:F,2,0)</f>
        <v>#N/A</v>
      </c>
      <c r="AI41" s="20">
        <f>+VLOOKUP(AG41,Catálogo!E:G,3,0)</f>
        <v>0</v>
      </c>
    </row>
    <row r="42" spans="1:35">
      <c r="A42" s="240">
        <v>120</v>
      </c>
      <c r="B42" s="240">
        <v>1</v>
      </c>
      <c r="C42" s="241">
        <v>0</v>
      </c>
      <c r="D42" s="52" t="s">
        <v>38</v>
      </c>
      <c r="E42" s="242">
        <v>25625314.02</v>
      </c>
      <c r="F42" s="242">
        <v>300000</v>
      </c>
      <c r="G42" s="242">
        <v>-151190.49</v>
      </c>
      <c r="H42" s="242">
        <v>25774123.530000001</v>
      </c>
      <c r="I42"/>
      <c r="J42" s="194">
        <f t="shared" si="1"/>
        <v>25774</v>
      </c>
      <c r="K42" s="201" t="str">
        <f t="shared" si="2"/>
        <v>Inv</v>
      </c>
      <c r="L42" s="201" t="str">
        <f t="shared" si="3"/>
        <v>ok</v>
      </c>
      <c r="M42" s="202">
        <f t="shared" si="4"/>
        <v>25774</v>
      </c>
      <c r="N42" s="180"/>
      <c r="O42" s="202">
        <f t="shared" si="5"/>
        <v>25774</v>
      </c>
      <c r="P42" s="203"/>
      <c r="Q42"/>
      <c r="R42"/>
      <c r="S42" s="240">
        <v>120</v>
      </c>
      <c r="T42" s="240">
        <v>1</v>
      </c>
      <c r="U42" s="241">
        <v>0</v>
      </c>
      <c r="V42" s="52" t="s">
        <v>38</v>
      </c>
      <c r="W42" s="242">
        <v>25625314.02</v>
      </c>
      <c r="X42" s="242">
        <v>300000</v>
      </c>
      <c r="Y42" s="242">
        <v>-151190.49</v>
      </c>
      <c r="Z42" s="242">
        <f t="shared" si="6"/>
        <v>25774</v>
      </c>
      <c r="AG42" s="20" t="str">
        <f t="shared" si="0"/>
        <v>1201ANTICIPOS CONSTRUCCION M.N.</v>
      </c>
      <c r="AH42" s="20" t="str">
        <f>+VLOOKUP(AG42,Catálogo!E:F,2,0)</f>
        <v xml:space="preserve">Inventarios inmobiliarios y costos pagados por anticipado </v>
      </c>
      <c r="AI42" s="20" t="str">
        <f>+VLOOKUP(AG42,Catálogo!E:G,3,0)</f>
        <v>Otros pagos anticipados (v)</v>
      </c>
    </row>
    <row r="43" spans="1:35">
      <c r="A43" s="240">
        <v>121</v>
      </c>
      <c r="B43" s="240">
        <v>0</v>
      </c>
      <c r="C43" s="241">
        <v>0</v>
      </c>
      <c r="D43" s="52" t="s">
        <v>39</v>
      </c>
      <c r="E43" s="242">
        <v>388000000</v>
      </c>
      <c r="F43" s="242">
        <v>0</v>
      </c>
      <c r="G43" s="242">
        <v>0</v>
      </c>
      <c r="H43" s="242">
        <v>388000000</v>
      </c>
      <c r="I43"/>
      <c r="J43" s="194">
        <f t="shared" si="1"/>
        <v>388000</v>
      </c>
      <c r="K43" s="201">
        <f t="shared" si="2"/>
        <v>0</v>
      </c>
      <c r="L43" s="201">
        <f t="shared" si="3"/>
        <v>0</v>
      </c>
      <c r="M43" s="202">
        <f t="shared" si="4"/>
        <v>0</v>
      </c>
      <c r="N43" s="180"/>
      <c r="O43" s="202">
        <f t="shared" si="5"/>
        <v>0</v>
      </c>
      <c r="P43" s="203"/>
      <c r="Q43"/>
      <c r="R43"/>
      <c r="S43" s="240">
        <v>121</v>
      </c>
      <c r="T43" s="240">
        <v>0</v>
      </c>
      <c r="U43" s="241">
        <v>0</v>
      </c>
      <c r="V43" s="52" t="s">
        <v>39</v>
      </c>
      <c r="W43" s="242">
        <v>388000000</v>
      </c>
      <c r="X43" s="242">
        <v>0</v>
      </c>
      <c r="Y43" s="242">
        <v>0</v>
      </c>
      <c r="Z43" s="242">
        <f t="shared" si="6"/>
        <v>0</v>
      </c>
      <c r="AG43" s="20" t="str">
        <f t="shared" si="0"/>
        <v>1210TERRENOS</v>
      </c>
      <c r="AH43" s="20" t="e">
        <f>+VLOOKUP(AG43,Catálogo!E:F,2,0)</f>
        <v>#N/A</v>
      </c>
      <c r="AI43" s="20">
        <f>+VLOOKUP(AG43,Catálogo!E:G,3,0)</f>
        <v>0</v>
      </c>
    </row>
    <row r="44" spans="1:35">
      <c r="A44" s="240">
        <v>121</v>
      </c>
      <c r="B44" s="240">
        <v>1</v>
      </c>
      <c r="C44" s="241">
        <v>0</v>
      </c>
      <c r="D44" s="52" t="s">
        <v>40</v>
      </c>
      <c r="E44" s="242">
        <v>388000000</v>
      </c>
      <c r="F44" s="242">
        <v>0</v>
      </c>
      <c r="G44" s="242">
        <v>0</v>
      </c>
      <c r="H44" s="242">
        <v>388000000</v>
      </c>
      <c r="I44"/>
      <c r="J44" s="194">
        <f t="shared" si="1"/>
        <v>388000</v>
      </c>
      <c r="K44" s="201">
        <f t="shared" si="2"/>
        <v>0</v>
      </c>
      <c r="L44" s="201">
        <f t="shared" si="3"/>
        <v>0</v>
      </c>
      <c r="M44" s="202">
        <f t="shared" si="4"/>
        <v>0</v>
      </c>
      <c r="N44" s="180"/>
      <c r="O44" s="202">
        <f t="shared" si="5"/>
        <v>0</v>
      </c>
      <c r="P44" s="203"/>
      <c r="Q44"/>
      <c r="R44"/>
      <c r="S44" s="240">
        <v>121</v>
      </c>
      <c r="T44" s="240">
        <v>1</v>
      </c>
      <c r="U44" s="241">
        <v>0</v>
      </c>
      <c r="V44" s="52" t="s">
        <v>40</v>
      </c>
      <c r="W44" s="242">
        <v>388000000</v>
      </c>
      <c r="X44" s="242">
        <v>0</v>
      </c>
      <c r="Y44" s="242">
        <v>0</v>
      </c>
      <c r="Z44" s="242">
        <f t="shared" si="6"/>
        <v>0</v>
      </c>
      <c r="AG44" s="20" t="str">
        <f t="shared" si="0"/>
        <v>1211INVERSIÓN</v>
      </c>
      <c r="AH44" s="20" t="e">
        <f>+VLOOKUP(AG44,Catálogo!E:F,2,0)</f>
        <v>#N/A</v>
      </c>
      <c r="AI44" s="20">
        <f>+VLOOKUP(AG44,Catálogo!E:G,3,0)</f>
        <v>0</v>
      </c>
    </row>
    <row r="45" spans="1:35">
      <c r="A45" s="240">
        <v>121</v>
      </c>
      <c r="B45" s="240">
        <v>1</v>
      </c>
      <c r="C45" s="241">
        <v>1</v>
      </c>
      <c r="D45" s="52" t="s">
        <v>450</v>
      </c>
      <c r="E45" s="242">
        <v>187251633.56999999</v>
      </c>
      <c r="F45" s="242">
        <v>0</v>
      </c>
      <c r="G45" s="242">
        <v>0</v>
      </c>
      <c r="H45" s="242">
        <v>187251633.56999999</v>
      </c>
      <c r="I45"/>
      <c r="J45" s="194">
        <f t="shared" si="1"/>
        <v>187252</v>
      </c>
      <c r="K45" s="201" t="str">
        <f t="shared" si="2"/>
        <v>Inv</v>
      </c>
      <c r="L45" s="201" t="str">
        <f t="shared" si="3"/>
        <v>ok</v>
      </c>
      <c r="M45" s="202">
        <f t="shared" si="4"/>
        <v>187252</v>
      </c>
      <c r="N45" s="180"/>
      <c r="O45" s="202">
        <f t="shared" si="5"/>
        <v>187252</v>
      </c>
      <c r="P45" s="203"/>
      <c r="Q45"/>
      <c r="R45"/>
      <c r="S45" s="240">
        <v>121</v>
      </c>
      <c r="T45" s="240">
        <v>1</v>
      </c>
      <c r="U45" s="241">
        <v>1</v>
      </c>
      <c r="V45" s="52" t="s">
        <v>450</v>
      </c>
      <c r="W45" s="242">
        <v>187251633.56999999</v>
      </c>
      <c r="X45" s="242">
        <v>0</v>
      </c>
      <c r="Y45" s="242">
        <v>0</v>
      </c>
      <c r="Z45" s="242">
        <f t="shared" si="6"/>
        <v>187252</v>
      </c>
      <c r="AG45" s="20" t="str">
        <f t="shared" si="0"/>
        <v>1211TERRENO L-18 0980616001000000</v>
      </c>
      <c r="AH45" s="20" t="str">
        <f>+VLOOKUP(AG45,Catálogo!E:F,2,0)</f>
        <v xml:space="preserve">Inventarios inmobiliarios y costos pagados por anticipado </v>
      </c>
      <c r="AI45" s="20" t="str">
        <f>+VLOOKUP(AG45,Catálogo!E:G,3,0)</f>
        <v>Terrenos (i)</v>
      </c>
    </row>
    <row r="46" spans="1:35">
      <c r="A46" s="240">
        <v>121</v>
      </c>
      <c r="B46" s="240">
        <v>1</v>
      </c>
      <c r="C46" s="241">
        <v>2</v>
      </c>
      <c r="D46" s="52" t="s">
        <v>42</v>
      </c>
      <c r="E46" s="242">
        <v>88266192.930000007</v>
      </c>
      <c r="F46" s="242">
        <v>0</v>
      </c>
      <c r="G46" s="242">
        <v>0</v>
      </c>
      <c r="H46" s="242">
        <v>88266192.930000007</v>
      </c>
      <c r="I46"/>
      <c r="J46" s="194">
        <f t="shared" si="1"/>
        <v>88266</v>
      </c>
      <c r="K46" s="201" t="str">
        <f t="shared" si="2"/>
        <v>Inv</v>
      </c>
      <c r="L46" s="201" t="str">
        <f t="shared" si="3"/>
        <v>ok</v>
      </c>
      <c r="M46" s="202">
        <f t="shared" si="4"/>
        <v>88266</v>
      </c>
      <c r="N46" s="180"/>
      <c r="O46" s="202">
        <f t="shared" si="5"/>
        <v>88266</v>
      </c>
      <c r="P46" s="203"/>
      <c r="Q46"/>
      <c r="R46"/>
      <c r="S46" s="240">
        <v>121</v>
      </c>
      <c r="T46" s="240">
        <v>1</v>
      </c>
      <c r="U46" s="241">
        <v>2</v>
      </c>
      <c r="V46" s="52" t="s">
        <v>42</v>
      </c>
      <c r="W46" s="242">
        <v>88266192.930000007</v>
      </c>
      <c r="X46" s="242">
        <v>0</v>
      </c>
      <c r="Y46" s="242">
        <v>0</v>
      </c>
      <c r="Z46" s="242">
        <f t="shared" si="6"/>
        <v>88266</v>
      </c>
      <c r="AG46" s="20" t="str">
        <f t="shared" si="0"/>
        <v>1211TERRENO L-19 No, CAT. 0980616002000000</v>
      </c>
      <c r="AH46" s="20" t="str">
        <f>+VLOOKUP(AG46,Catálogo!E:F,2,0)</f>
        <v xml:space="preserve">Inventarios inmobiliarios y costos pagados por anticipado </v>
      </c>
      <c r="AI46" s="20" t="str">
        <f>+VLOOKUP(AG46,Catálogo!E:G,3,0)</f>
        <v>Terrenos (i)</v>
      </c>
    </row>
    <row r="47" spans="1:35">
      <c r="A47" s="240">
        <v>121</v>
      </c>
      <c r="B47" s="240">
        <v>1</v>
      </c>
      <c r="C47" s="241">
        <v>3</v>
      </c>
      <c r="D47" s="52" t="s">
        <v>43</v>
      </c>
      <c r="E47" s="242">
        <v>90068169.150000006</v>
      </c>
      <c r="F47" s="242">
        <v>0</v>
      </c>
      <c r="G47" s="242">
        <v>0</v>
      </c>
      <c r="H47" s="242">
        <v>90068169.150000006</v>
      </c>
      <c r="I47"/>
      <c r="J47" s="194">
        <f t="shared" si="1"/>
        <v>90068</v>
      </c>
      <c r="K47" s="201" t="str">
        <f t="shared" si="2"/>
        <v>Inv</v>
      </c>
      <c r="L47" s="201" t="str">
        <f t="shared" si="3"/>
        <v>ok</v>
      </c>
      <c r="M47" s="202">
        <f t="shared" si="4"/>
        <v>90068</v>
      </c>
      <c r="N47" s="180"/>
      <c r="O47" s="202">
        <f t="shared" si="5"/>
        <v>90068</v>
      </c>
      <c r="P47" s="203"/>
      <c r="Q47"/>
      <c r="R47"/>
      <c r="S47" s="240">
        <v>121</v>
      </c>
      <c r="T47" s="240">
        <v>1</v>
      </c>
      <c r="U47" s="241">
        <v>3</v>
      </c>
      <c r="V47" s="52" t="s">
        <v>43</v>
      </c>
      <c r="W47" s="242">
        <v>90068169.150000006</v>
      </c>
      <c r="X47" s="242">
        <v>0</v>
      </c>
      <c r="Y47" s="242">
        <v>0</v>
      </c>
      <c r="Z47" s="242">
        <f t="shared" si="6"/>
        <v>90068</v>
      </c>
      <c r="AG47" s="20" t="str">
        <f t="shared" si="0"/>
        <v>1211TERRENO L-20 CLAVE No. 0980616003000000</v>
      </c>
      <c r="AH47" s="20" t="str">
        <f>+VLOOKUP(AG47,Catálogo!E:F,2,0)</f>
        <v xml:space="preserve">Inventarios inmobiliarios y costos pagados por anticipado </v>
      </c>
      <c r="AI47" s="20" t="str">
        <f>+VLOOKUP(AG47,Catálogo!E:G,3,0)</f>
        <v>Terrenos (i)</v>
      </c>
    </row>
    <row r="48" spans="1:35">
      <c r="A48" s="240">
        <v>121</v>
      </c>
      <c r="B48" s="240">
        <v>1</v>
      </c>
      <c r="C48" s="241">
        <v>4</v>
      </c>
      <c r="D48" s="52" t="s">
        <v>44</v>
      </c>
      <c r="E48" s="242">
        <v>22414004.350000001</v>
      </c>
      <c r="F48" s="242">
        <v>0</v>
      </c>
      <c r="G48" s="242">
        <v>0</v>
      </c>
      <c r="H48" s="242">
        <v>22414004.350000001</v>
      </c>
      <c r="I48"/>
      <c r="J48" s="194">
        <f t="shared" si="1"/>
        <v>22414</v>
      </c>
      <c r="K48" s="201" t="str">
        <f t="shared" si="2"/>
        <v>Inv</v>
      </c>
      <c r="L48" s="201" t="str">
        <f t="shared" si="3"/>
        <v>ok</v>
      </c>
      <c r="M48" s="202">
        <f t="shared" si="4"/>
        <v>22414</v>
      </c>
      <c r="N48" s="180"/>
      <c r="O48" s="202">
        <f t="shared" si="5"/>
        <v>22414</v>
      </c>
      <c r="P48" s="203"/>
      <c r="Q48"/>
      <c r="R48"/>
      <c r="S48" s="240">
        <v>121</v>
      </c>
      <c r="T48" s="240">
        <v>1</v>
      </c>
      <c r="U48" s="241">
        <v>4</v>
      </c>
      <c r="V48" s="52" t="s">
        <v>44</v>
      </c>
      <c r="W48" s="242">
        <v>22414004.350000001</v>
      </c>
      <c r="X48" s="242">
        <v>0</v>
      </c>
      <c r="Y48" s="242">
        <v>0</v>
      </c>
      <c r="Z48" s="242">
        <f t="shared" si="6"/>
        <v>22414</v>
      </c>
      <c r="AG48" s="20" t="str">
        <f t="shared" si="0"/>
        <v>1211TERRENO MADIN CLAVE No: 1000676303000000</v>
      </c>
      <c r="AH48" s="20" t="str">
        <f>+VLOOKUP(AG48,Catálogo!E:F,2,0)</f>
        <v xml:space="preserve">Inventarios inmobiliarios y costos pagados por anticipado </v>
      </c>
      <c r="AI48" s="20" t="str">
        <f>+VLOOKUP(AG48,Catálogo!E:G,3,0)</f>
        <v>Terrenos (i)</v>
      </c>
    </row>
    <row r="49" spans="1:35">
      <c r="A49" s="240">
        <v>123</v>
      </c>
      <c r="B49" s="240">
        <v>0</v>
      </c>
      <c r="C49" s="241">
        <v>0</v>
      </c>
      <c r="D49" s="52" t="s">
        <v>45</v>
      </c>
      <c r="E49" s="242">
        <v>609760043.41999996</v>
      </c>
      <c r="F49" s="242">
        <v>25831730.609999999</v>
      </c>
      <c r="G49" s="242">
        <v>-36405265.350000001</v>
      </c>
      <c r="H49" s="242">
        <v>599186508.67999995</v>
      </c>
      <c r="I49"/>
      <c r="J49" s="194">
        <f t="shared" si="1"/>
        <v>599187</v>
      </c>
      <c r="K49" s="201">
        <f t="shared" si="2"/>
        <v>0</v>
      </c>
      <c r="L49" s="201">
        <f t="shared" si="3"/>
        <v>0</v>
      </c>
      <c r="M49" s="202">
        <f t="shared" si="4"/>
        <v>0</v>
      </c>
      <c r="N49" s="180"/>
      <c r="O49" s="202">
        <f t="shared" si="5"/>
        <v>0</v>
      </c>
      <c r="P49" s="203"/>
      <c r="Q49"/>
      <c r="R49"/>
      <c r="S49" s="240">
        <v>123</v>
      </c>
      <c r="T49" s="240">
        <v>0</v>
      </c>
      <c r="U49" s="241">
        <v>0</v>
      </c>
      <c r="V49" s="52" t="s">
        <v>45</v>
      </c>
      <c r="W49" s="242">
        <v>609760043.41999996</v>
      </c>
      <c r="X49" s="242">
        <v>25831730.609999999</v>
      </c>
      <c r="Y49" s="242">
        <v>-36405265.350000001</v>
      </c>
      <c r="Z49" s="242">
        <f t="shared" si="6"/>
        <v>0</v>
      </c>
      <c r="AG49" s="20" t="str">
        <f t="shared" si="0"/>
        <v>1230CONSTRUCCIONES EN PROCESO</v>
      </c>
      <c r="AH49" s="20" t="e">
        <f>+VLOOKUP(AG49,Catálogo!E:F,2,0)</f>
        <v>#N/A</v>
      </c>
      <c r="AI49" s="20">
        <f>+VLOOKUP(AG49,Catálogo!E:G,3,0)</f>
        <v>0</v>
      </c>
    </row>
    <row r="50" spans="1:35">
      <c r="A50" s="240">
        <v>123</v>
      </c>
      <c r="B50" s="240">
        <v>4</v>
      </c>
      <c r="C50" s="241">
        <v>0</v>
      </c>
      <c r="D50" s="52" t="s">
        <v>46</v>
      </c>
      <c r="E50" s="242">
        <v>93925877.739999995</v>
      </c>
      <c r="F50" s="242">
        <v>1007936.57</v>
      </c>
      <c r="G50" s="242">
        <v>0</v>
      </c>
      <c r="H50" s="242">
        <v>94933814.310000002</v>
      </c>
      <c r="I50"/>
      <c r="J50" s="194">
        <f t="shared" si="1"/>
        <v>94934</v>
      </c>
      <c r="K50" s="201">
        <f t="shared" si="2"/>
        <v>0</v>
      </c>
      <c r="L50" s="201">
        <f t="shared" si="3"/>
        <v>0</v>
      </c>
      <c r="M50" s="202">
        <f t="shared" si="4"/>
        <v>0</v>
      </c>
      <c r="N50" s="180"/>
      <c r="O50" s="202">
        <f t="shared" si="5"/>
        <v>0</v>
      </c>
      <c r="P50" s="203"/>
      <c r="Q50"/>
      <c r="R50"/>
      <c r="S50" s="240">
        <v>123</v>
      </c>
      <c r="T50" s="240">
        <v>4</v>
      </c>
      <c r="U50" s="241">
        <v>0</v>
      </c>
      <c r="V50" s="52" t="s">
        <v>46</v>
      </c>
      <c r="W50" s="242">
        <v>93925877.739999995</v>
      </c>
      <c r="X50" s="242">
        <v>1007936.57</v>
      </c>
      <c r="Y50" s="242">
        <v>0</v>
      </c>
      <c r="Z50" s="242">
        <f t="shared" si="6"/>
        <v>0</v>
      </c>
      <c r="AG50" s="20" t="str">
        <f t="shared" si="0"/>
        <v>1234SUBCONTRATO (HARD-COST)</v>
      </c>
      <c r="AH50" s="20" t="e">
        <f>+VLOOKUP(AG50,Catálogo!E:F,2,0)</f>
        <v>#N/A</v>
      </c>
      <c r="AI50" s="20">
        <f>+VLOOKUP(AG50,Catálogo!E:G,3,0)</f>
        <v>0</v>
      </c>
    </row>
    <row r="51" spans="1:35">
      <c r="A51" s="240">
        <v>123</v>
      </c>
      <c r="B51" s="240">
        <v>4</v>
      </c>
      <c r="C51" s="241">
        <v>1</v>
      </c>
      <c r="D51" s="52" t="s">
        <v>47</v>
      </c>
      <c r="E51" s="242">
        <v>99500</v>
      </c>
      <c r="F51" s="242">
        <v>0</v>
      </c>
      <c r="G51" s="242">
        <v>0</v>
      </c>
      <c r="H51" s="242">
        <v>99500</v>
      </c>
      <c r="I51"/>
      <c r="J51" s="194">
        <f t="shared" si="1"/>
        <v>100</v>
      </c>
      <c r="K51" s="201" t="str">
        <f t="shared" si="2"/>
        <v>Inv</v>
      </c>
      <c r="L51" s="201" t="str">
        <f t="shared" si="3"/>
        <v>ok</v>
      </c>
      <c r="M51" s="202">
        <f t="shared" si="4"/>
        <v>100</v>
      </c>
      <c r="N51" s="180"/>
      <c r="O51" s="202">
        <f t="shared" si="5"/>
        <v>100</v>
      </c>
      <c r="P51" s="203"/>
      <c r="Q51"/>
      <c r="R51"/>
      <c r="S51" s="240">
        <v>123</v>
      </c>
      <c r="T51" s="240">
        <v>4</v>
      </c>
      <c r="U51" s="241">
        <v>1</v>
      </c>
      <c r="V51" s="52" t="s">
        <v>47</v>
      </c>
      <c r="W51" s="242">
        <v>99500</v>
      </c>
      <c r="X51" s="242">
        <v>0</v>
      </c>
      <c r="Y51" s="242">
        <v>0</v>
      </c>
      <c r="Z51" s="242">
        <f t="shared" si="6"/>
        <v>100</v>
      </c>
      <c r="AG51" s="20" t="str">
        <f t="shared" si="0"/>
        <v>1234PRELIMINARES EDIFICACIÓN</v>
      </c>
      <c r="AH51" s="20" t="str">
        <f>+VLOOKUP(AG51,Catálogo!E:F,2,0)</f>
        <v xml:space="preserve">Inventarios inmobiliarios y costos pagados por anticipado </v>
      </c>
      <c r="AI51" s="20" t="str">
        <f>+VLOOKUP(AG51,Catálogo!E:G,3,0)</f>
        <v>Construcción en proceso (ii)</v>
      </c>
    </row>
    <row r="52" spans="1:35">
      <c r="A52" s="240">
        <v>123</v>
      </c>
      <c r="B52" s="240">
        <v>4</v>
      </c>
      <c r="C52" s="241">
        <v>24</v>
      </c>
      <c r="D52" s="52" t="s">
        <v>451</v>
      </c>
      <c r="E52" s="242">
        <v>424951.73</v>
      </c>
      <c r="F52" s="242">
        <v>0</v>
      </c>
      <c r="G52" s="242">
        <v>0</v>
      </c>
      <c r="H52" s="242">
        <v>424951.73</v>
      </c>
      <c r="I52"/>
      <c r="J52" s="194">
        <f t="shared" si="1"/>
        <v>425</v>
      </c>
      <c r="K52" s="201" t="str">
        <f t="shared" si="2"/>
        <v>Inv</v>
      </c>
      <c r="L52" s="201" t="str">
        <f t="shared" si="3"/>
        <v>ok</v>
      </c>
      <c r="M52" s="202">
        <f t="shared" si="4"/>
        <v>425</v>
      </c>
      <c r="N52" s="180"/>
      <c r="O52" s="202">
        <f t="shared" si="5"/>
        <v>425</v>
      </c>
      <c r="P52" s="203"/>
      <c r="Q52"/>
      <c r="R52"/>
      <c r="S52" s="240">
        <v>123</v>
      </c>
      <c r="T52" s="240">
        <v>4</v>
      </c>
      <c r="U52" s="241">
        <v>24</v>
      </c>
      <c r="V52" s="52" t="s">
        <v>451</v>
      </c>
      <c r="W52" s="242">
        <v>424951.73</v>
      </c>
      <c r="X52" s="242">
        <v>0</v>
      </c>
      <c r="Y52" s="242">
        <v>0</v>
      </c>
      <c r="Z52" s="242">
        <f t="shared" si="6"/>
        <v>425</v>
      </c>
      <c r="AG52" s="20" t="str">
        <f t="shared" si="0"/>
        <v>1234PRELIMINARES URBANIZACIÓN</v>
      </c>
      <c r="AH52" s="20" t="str">
        <f>+VLOOKUP(AG52,Catálogo!E:F,2,0)</f>
        <v xml:space="preserve">Inventarios inmobiliarios y costos pagados por anticipado </v>
      </c>
      <c r="AI52" s="20" t="str">
        <f>+VLOOKUP(AG52,Catálogo!E:G,3,0)</f>
        <v>Construcción en proceso (ii)</v>
      </c>
    </row>
    <row r="53" spans="1:35">
      <c r="A53" s="240">
        <v>123</v>
      </c>
      <c r="B53" s="240">
        <v>4</v>
      </c>
      <c r="C53" s="241">
        <v>25</v>
      </c>
      <c r="D53" s="52" t="s">
        <v>48</v>
      </c>
      <c r="E53" s="242">
        <v>60899245.649999999</v>
      </c>
      <c r="F53" s="242">
        <v>1007936.57</v>
      </c>
      <c r="G53" s="242">
        <v>0</v>
      </c>
      <c r="H53" s="242">
        <v>61907182.219999999</v>
      </c>
      <c r="I53"/>
      <c r="J53" s="194">
        <f t="shared" si="1"/>
        <v>61907</v>
      </c>
      <c r="K53" s="201" t="str">
        <f t="shared" si="2"/>
        <v>Inv</v>
      </c>
      <c r="L53" s="201" t="str">
        <f t="shared" si="3"/>
        <v>ok</v>
      </c>
      <c r="M53" s="202">
        <f t="shared" si="4"/>
        <v>61907</v>
      </c>
      <c r="N53" s="180"/>
      <c r="O53" s="202">
        <f t="shared" si="5"/>
        <v>61907</v>
      </c>
      <c r="P53" s="203"/>
      <c r="Q53"/>
      <c r="R53"/>
      <c r="S53" s="240">
        <v>123</v>
      </c>
      <c r="T53" s="240">
        <v>4</v>
      </c>
      <c r="U53" s="241">
        <v>25</v>
      </c>
      <c r="V53" s="52" t="s">
        <v>48</v>
      </c>
      <c r="W53" s="242">
        <v>60899245.649999999</v>
      </c>
      <c r="X53" s="242">
        <v>1007936.57</v>
      </c>
      <c r="Y53" s="242">
        <v>0</v>
      </c>
      <c r="Z53" s="242">
        <f t="shared" si="6"/>
        <v>61907</v>
      </c>
      <c r="AG53" s="20" t="str">
        <f t="shared" si="0"/>
        <v>1234PAVIMENTACIÓN</v>
      </c>
      <c r="AH53" s="20" t="str">
        <f>+VLOOKUP(AG53,Catálogo!E:F,2,0)</f>
        <v xml:space="preserve">Inventarios inmobiliarios y costos pagados por anticipado </v>
      </c>
      <c r="AI53" s="20" t="str">
        <f>+VLOOKUP(AG53,Catálogo!E:G,3,0)</f>
        <v>Construcción en proceso (ii)</v>
      </c>
    </row>
    <row r="54" spans="1:35">
      <c r="A54" s="240">
        <v>123</v>
      </c>
      <c r="B54" s="240">
        <v>4</v>
      </c>
      <c r="C54" s="241">
        <v>26</v>
      </c>
      <c r="D54" s="52" t="s">
        <v>49</v>
      </c>
      <c r="E54" s="242">
        <v>32502180.359999999</v>
      </c>
      <c r="F54" s="242">
        <v>0</v>
      </c>
      <c r="G54" s="242">
        <v>0</v>
      </c>
      <c r="H54" s="242">
        <v>32502180.359999999</v>
      </c>
      <c r="I54"/>
      <c r="J54" s="194">
        <f t="shared" si="1"/>
        <v>32502</v>
      </c>
      <c r="K54" s="201" t="str">
        <f t="shared" si="2"/>
        <v>Inv</v>
      </c>
      <c r="L54" s="201" t="str">
        <f t="shared" si="3"/>
        <v>ok</v>
      </c>
      <c r="M54" s="202">
        <f t="shared" si="4"/>
        <v>32502</v>
      </c>
      <c r="N54" s="180"/>
      <c r="O54" s="202">
        <f t="shared" si="5"/>
        <v>32502</v>
      </c>
      <c r="P54" s="203"/>
      <c r="Q54"/>
      <c r="R54"/>
      <c r="S54" s="240">
        <v>123</v>
      </c>
      <c r="T54" s="240">
        <v>4</v>
      </c>
      <c r="U54" s="241">
        <v>26</v>
      </c>
      <c r="V54" s="52" t="s">
        <v>49</v>
      </c>
      <c r="W54" s="242">
        <v>32502180.359999999</v>
      </c>
      <c r="X54" s="242">
        <v>0</v>
      </c>
      <c r="Y54" s="242">
        <v>0</v>
      </c>
      <c r="Z54" s="242">
        <f t="shared" si="6"/>
        <v>32502</v>
      </c>
      <c r="AG54" s="20" t="str">
        <f t="shared" si="0"/>
        <v>1234INSTALACIÓN ELÉCTRICA</v>
      </c>
      <c r="AH54" s="20" t="str">
        <f>+VLOOKUP(AG54,Catálogo!E:F,2,0)</f>
        <v xml:space="preserve">Inventarios inmobiliarios y costos pagados por anticipado </v>
      </c>
      <c r="AI54" s="20" t="str">
        <f>+VLOOKUP(AG54,Catálogo!E:G,3,0)</f>
        <v>Construcción en proceso (ii)</v>
      </c>
    </row>
    <row r="55" spans="1:35">
      <c r="A55" s="240">
        <v>123</v>
      </c>
      <c r="B55" s="240">
        <v>6</v>
      </c>
      <c r="C55" s="241">
        <v>0</v>
      </c>
      <c r="D55" s="52" t="s">
        <v>50</v>
      </c>
      <c r="E55" s="242">
        <v>5852895.5300000003</v>
      </c>
      <c r="F55" s="242">
        <v>0</v>
      </c>
      <c r="G55" s="242">
        <v>-64999.99</v>
      </c>
      <c r="H55" s="242">
        <v>5787895.54</v>
      </c>
      <c r="I55"/>
      <c r="J55" s="194">
        <f t="shared" si="1"/>
        <v>5788</v>
      </c>
      <c r="K55" s="201">
        <f t="shared" si="2"/>
        <v>0</v>
      </c>
      <c r="L55" s="201">
        <f t="shared" si="3"/>
        <v>0</v>
      </c>
      <c r="M55" s="202">
        <f t="shared" si="4"/>
        <v>0</v>
      </c>
      <c r="N55" s="180"/>
      <c r="O55" s="202">
        <f t="shared" si="5"/>
        <v>0</v>
      </c>
      <c r="P55" s="203"/>
      <c r="Q55"/>
      <c r="R55"/>
      <c r="S55" s="240">
        <v>123</v>
      </c>
      <c r="T55" s="240">
        <v>6</v>
      </c>
      <c r="U55" s="241">
        <v>0</v>
      </c>
      <c r="V55" s="52" t="s">
        <v>50</v>
      </c>
      <c r="W55" s="242">
        <v>5852895.5300000003</v>
      </c>
      <c r="X55" s="242">
        <v>0</v>
      </c>
      <c r="Y55" s="242">
        <v>-64999.99</v>
      </c>
      <c r="Z55" s="242">
        <f t="shared" si="6"/>
        <v>0</v>
      </c>
      <c r="AG55" s="20" t="str">
        <f t="shared" si="0"/>
        <v>1236ADMINISTRATIVOS</v>
      </c>
      <c r="AH55" s="20" t="e">
        <f>+VLOOKUP(AG55,Catálogo!E:F,2,0)</f>
        <v>#N/A</v>
      </c>
      <c r="AI55" s="20">
        <f>+VLOOKUP(AG55,Catálogo!E:G,3,0)</f>
        <v>0</v>
      </c>
    </row>
    <row r="56" spans="1:35">
      <c r="A56" s="240">
        <v>123</v>
      </c>
      <c r="B56" s="240">
        <v>6</v>
      </c>
      <c r="C56" s="241">
        <v>2</v>
      </c>
      <c r="D56" s="52" t="s">
        <v>51</v>
      </c>
      <c r="E56" s="242">
        <v>3449227.75</v>
      </c>
      <c r="F56" s="242">
        <v>0</v>
      </c>
      <c r="G56" s="242">
        <v>0</v>
      </c>
      <c r="H56" s="242">
        <v>3449227.75</v>
      </c>
      <c r="I56"/>
      <c r="J56" s="194">
        <f t="shared" si="1"/>
        <v>3449</v>
      </c>
      <c r="K56" s="201" t="str">
        <f t="shared" si="2"/>
        <v>Inv</v>
      </c>
      <c r="L56" s="201" t="str">
        <f t="shared" si="3"/>
        <v>ok</v>
      </c>
      <c r="M56" s="202">
        <f t="shared" si="4"/>
        <v>3449</v>
      </c>
      <c r="N56" s="180"/>
      <c r="O56" s="202">
        <f t="shared" si="5"/>
        <v>3449</v>
      </c>
      <c r="P56" s="203"/>
      <c r="Q56"/>
      <c r="R56"/>
      <c r="S56" s="240">
        <v>123</v>
      </c>
      <c r="T56" s="240">
        <v>6</v>
      </c>
      <c r="U56" s="241">
        <v>2</v>
      </c>
      <c r="V56" s="52" t="s">
        <v>51</v>
      </c>
      <c r="W56" s="242">
        <v>3449227.75</v>
      </c>
      <c r="X56" s="242">
        <v>0</v>
      </c>
      <c r="Y56" s="242">
        <v>0</v>
      </c>
      <c r="Z56" s="242">
        <f t="shared" si="6"/>
        <v>3449</v>
      </c>
      <c r="AG56" s="20" t="str">
        <f t="shared" si="0"/>
        <v>1236HONORARIOS PERSONAS MORALES</v>
      </c>
      <c r="AH56" s="20" t="str">
        <f>+VLOOKUP(AG56,Catálogo!E:F,2,0)</f>
        <v xml:space="preserve">Inventarios inmobiliarios y costos pagados por anticipado </v>
      </c>
      <c r="AI56" s="20" t="str">
        <f>+VLOOKUP(AG56,Catálogo!E:G,3,0)</f>
        <v>Gastos administrativos y de comercialización (iv)</v>
      </c>
    </row>
    <row r="57" spans="1:35">
      <c r="A57" s="240">
        <v>123</v>
      </c>
      <c r="B57" s="240">
        <v>6</v>
      </c>
      <c r="C57" s="241">
        <v>6</v>
      </c>
      <c r="D57" s="52" t="s">
        <v>52</v>
      </c>
      <c r="E57" s="242">
        <v>64999.99</v>
      </c>
      <c r="F57" s="242">
        <v>0</v>
      </c>
      <c r="G57" s="242">
        <v>-64999.99</v>
      </c>
      <c r="H57" s="242">
        <v>0</v>
      </c>
      <c r="I57"/>
      <c r="J57" s="194">
        <f t="shared" si="1"/>
        <v>0</v>
      </c>
      <c r="K57" s="201" t="str">
        <f t="shared" si="2"/>
        <v>Inv</v>
      </c>
      <c r="L57" s="201" t="str">
        <f t="shared" si="3"/>
        <v>ok</v>
      </c>
      <c r="M57" s="202">
        <f t="shared" si="4"/>
        <v>0</v>
      </c>
      <c r="N57" s="180"/>
      <c r="O57" s="202">
        <f t="shared" si="5"/>
        <v>0</v>
      </c>
      <c r="P57" s="203"/>
      <c r="Q57"/>
      <c r="R57"/>
      <c r="S57" s="240">
        <v>123</v>
      </c>
      <c r="T57" s="240">
        <v>6</v>
      </c>
      <c r="U57" s="241">
        <v>6</v>
      </c>
      <c r="V57" s="52" t="s">
        <v>52</v>
      </c>
      <c r="W57" s="242">
        <v>64999.99</v>
      </c>
      <c r="X57" s="242">
        <v>0</v>
      </c>
      <c r="Y57" s="242">
        <v>-64999.99</v>
      </c>
      <c r="Z57" s="242">
        <f t="shared" si="6"/>
        <v>0</v>
      </c>
      <c r="AG57" s="20" t="str">
        <f t="shared" si="0"/>
        <v>1236HONORARIOS PERSONAS FISICAS</v>
      </c>
      <c r="AH57" s="20" t="str">
        <f>+VLOOKUP(AG57,Catálogo!E:F,2,0)</f>
        <v xml:space="preserve">Inventarios inmobiliarios y costos pagados por anticipado </v>
      </c>
      <c r="AI57" s="20" t="str">
        <f>+VLOOKUP(AG57,Catálogo!E:G,3,0)</f>
        <v>Gastos administrativos y de comercialización (iv)</v>
      </c>
    </row>
    <row r="58" spans="1:35">
      <c r="A58" s="240">
        <v>123</v>
      </c>
      <c r="B58" s="240">
        <v>6</v>
      </c>
      <c r="C58" s="241">
        <v>14</v>
      </c>
      <c r="D58" s="52" t="s">
        <v>53</v>
      </c>
      <c r="E58" s="242">
        <v>2338667.79</v>
      </c>
      <c r="F58" s="242">
        <v>0</v>
      </c>
      <c r="G58" s="242">
        <v>0</v>
      </c>
      <c r="H58" s="242">
        <v>2338667.79</v>
      </c>
      <c r="I58"/>
      <c r="J58" s="194">
        <f t="shared" si="1"/>
        <v>2339</v>
      </c>
      <c r="K58" s="201" t="str">
        <f t="shared" si="2"/>
        <v>Inv</v>
      </c>
      <c r="L58" s="201" t="str">
        <f t="shared" si="3"/>
        <v>ok</v>
      </c>
      <c r="M58" s="202">
        <f t="shared" si="4"/>
        <v>2339</v>
      </c>
      <c r="N58" s="180"/>
      <c r="O58" s="202">
        <f t="shared" si="5"/>
        <v>2339</v>
      </c>
      <c r="P58" s="203"/>
      <c r="Q58"/>
      <c r="R58"/>
      <c r="S58" s="240">
        <v>123</v>
      </c>
      <c r="T58" s="240">
        <v>6</v>
      </c>
      <c r="U58" s="241">
        <v>14</v>
      </c>
      <c r="V58" s="52" t="s">
        <v>53</v>
      </c>
      <c r="W58" s="242">
        <v>2338667.79</v>
      </c>
      <c r="X58" s="242">
        <v>0</v>
      </c>
      <c r="Y58" s="242">
        <v>0</v>
      </c>
      <c r="Z58" s="242">
        <f t="shared" si="6"/>
        <v>2339</v>
      </c>
      <c r="AG58" s="20" t="str">
        <f t="shared" si="0"/>
        <v>1236PREDIAL Y AGUA</v>
      </c>
      <c r="AH58" s="20" t="str">
        <f>+VLOOKUP(AG58,Catálogo!E:F,2,0)</f>
        <v xml:space="preserve">Inventarios inmobiliarios y costos pagados por anticipado </v>
      </c>
      <c r="AI58" s="20" t="str">
        <f>+VLOOKUP(AG58,Catálogo!E:G,3,0)</f>
        <v>Gastos administrativos y de comercialización (iv)</v>
      </c>
    </row>
    <row r="59" spans="1:35">
      <c r="A59" s="240">
        <v>123</v>
      </c>
      <c r="B59" s="240">
        <v>7</v>
      </c>
      <c r="C59" s="241">
        <v>0</v>
      </c>
      <c r="D59" s="52" t="s">
        <v>54</v>
      </c>
      <c r="E59" s="242">
        <v>489800564.06999999</v>
      </c>
      <c r="F59" s="242">
        <v>24823794.039999999</v>
      </c>
      <c r="G59" s="242">
        <v>-36040265.380000003</v>
      </c>
      <c r="H59" s="242">
        <v>478584092.73000002</v>
      </c>
      <c r="I59"/>
      <c r="J59" s="194">
        <f t="shared" si="1"/>
        <v>478584</v>
      </c>
      <c r="K59" s="201">
        <f t="shared" si="2"/>
        <v>0</v>
      </c>
      <c r="L59" s="201">
        <f t="shared" si="3"/>
        <v>0</v>
      </c>
      <c r="M59" s="202">
        <f t="shared" si="4"/>
        <v>0</v>
      </c>
      <c r="N59" s="180"/>
      <c r="O59" s="202">
        <f t="shared" si="5"/>
        <v>0</v>
      </c>
      <c r="P59" s="203"/>
      <c r="Q59"/>
      <c r="R59"/>
      <c r="S59" s="240">
        <v>123</v>
      </c>
      <c r="T59" s="240">
        <v>7</v>
      </c>
      <c r="U59" s="241">
        <v>0</v>
      </c>
      <c r="V59" s="52" t="s">
        <v>54</v>
      </c>
      <c r="W59" s="242">
        <v>489800564.06999999</v>
      </c>
      <c r="X59" s="242">
        <v>24823794.039999999</v>
      </c>
      <c r="Y59" s="242">
        <v>-36040265.380000003</v>
      </c>
      <c r="Z59" s="242">
        <f t="shared" si="6"/>
        <v>0</v>
      </c>
      <c r="AG59" s="20" t="str">
        <f t="shared" si="0"/>
        <v>1237PRE Y POST OPERATIVOS (SOFT-COST)</v>
      </c>
      <c r="AH59" s="20" t="e">
        <f>+VLOOKUP(AG59,Catálogo!E:F,2,0)</f>
        <v>#N/A</v>
      </c>
      <c r="AI59" s="20">
        <f>+VLOOKUP(AG59,Catálogo!E:G,3,0)</f>
        <v>0</v>
      </c>
    </row>
    <row r="60" spans="1:35">
      <c r="A60" s="240">
        <v>123</v>
      </c>
      <c r="B60" s="240">
        <v>7</v>
      </c>
      <c r="C60" s="241">
        <v>1</v>
      </c>
      <c r="D60" s="52" t="s">
        <v>55</v>
      </c>
      <c r="E60" s="242">
        <v>445000</v>
      </c>
      <c r="F60" s="242">
        <v>0</v>
      </c>
      <c r="G60" s="242">
        <v>0</v>
      </c>
      <c r="H60" s="242">
        <v>445000</v>
      </c>
      <c r="I60"/>
      <c r="J60" s="194">
        <f t="shared" si="1"/>
        <v>445</v>
      </c>
      <c r="K60" s="201" t="str">
        <f t="shared" si="2"/>
        <v>Inv</v>
      </c>
      <c r="L60" s="201" t="str">
        <f t="shared" si="3"/>
        <v>ok</v>
      </c>
      <c r="M60" s="202">
        <f t="shared" si="4"/>
        <v>445</v>
      </c>
      <c r="N60" s="180"/>
      <c r="O60" s="202">
        <f t="shared" si="5"/>
        <v>445</v>
      </c>
      <c r="P60" s="203"/>
      <c r="Q60"/>
      <c r="R60"/>
      <c r="S60" s="240">
        <v>123</v>
      </c>
      <c r="T60" s="240">
        <v>7</v>
      </c>
      <c r="U60" s="241">
        <v>1</v>
      </c>
      <c r="V60" s="52" t="s">
        <v>55</v>
      </c>
      <c r="W60" s="242">
        <v>445000</v>
      </c>
      <c r="X60" s="242">
        <v>0</v>
      </c>
      <c r="Y60" s="242">
        <v>0</v>
      </c>
      <c r="Z60" s="242">
        <f t="shared" si="6"/>
        <v>445</v>
      </c>
      <c r="AG60" s="20" t="str">
        <f t="shared" si="0"/>
        <v>1237TERRENO</v>
      </c>
      <c r="AH60" s="20" t="str">
        <f>+VLOOKUP(AG60,Catálogo!E:F,2,0)</f>
        <v xml:space="preserve">Inventarios inmobiliarios y costos pagados por anticipado </v>
      </c>
      <c r="AI60" s="20" t="str">
        <f>+VLOOKUP(AG60,Catálogo!E:G,3,0)</f>
        <v>Gastos legales, financieros y por trámites (iii)</v>
      </c>
    </row>
    <row r="61" spans="1:35">
      <c r="A61" s="240">
        <v>123</v>
      </c>
      <c r="B61" s="240">
        <v>7</v>
      </c>
      <c r="C61" s="241">
        <v>2</v>
      </c>
      <c r="D61" s="52" t="s">
        <v>56</v>
      </c>
      <c r="E61" s="242">
        <v>22314219.870000001</v>
      </c>
      <c r="F61" s="242">
        <v>0</v>
      </c>
      <c r="G61" s="242">
        <v>-8000</v>
      </c>
      <c r="H61" s="242">
        <v>22306219.870000001</v>
      </c>
      <c r="I61"/>
      <c r="J61" s="194">
        <f t="shared" si="1"/>
        <v>22306</v>
      </c>
      <c r="K61" s="201" t="str">
        <f t="shared" si="2"/>
        <v>Inv</v>
      </c>
      <c r="L61" s="201" t="str">
        <f t="shared" si="3"/>
        <v>ok</v>
      </c>
      <c r="M61" s="202">
        <f t="shared" si="4"/>
        <v>22306</v>
      </c>
      <c r="N61" s="180"/>
      <c r="O61" s="202">
        <f t="shared" si="5"/>
        <v>22306</v>
      </c>
      <c r="P61" s="203"/>
      <c r="Q61"/>
      <c r="R61"/>
      <c r="S61" s="240">
        <v>123</v>
      </c>
      <c r="T61" s="240">
        <v>7</v>
      </c>
      <c r="U61" s="241">
        <v>2</v>
      </c>
      <c r="V61" s="52" t="s">
        <v>56</v>
      </c>
      <c r="W61" s="242">
        <v>22314219.870000001</v>
      </c>
      <c r="X61" s="242">
        <v>0</v>
      </c>
      <c r="Y61" s="242">
        <v>-8000</v>
      </c>
      <c r="Z61" s="242">
        <f t="shared" si="6"/>
        <v>22306</v>
      </c>
      <c r="AG61" s="20" t="str">
        <f t="shared" si="0"/>
        <v>1237COMPRA DE TERRENO</v>
      </c>
      <c r="AH61" s="20" t="str">
        <f>+VLOOKUP(AG61,Catálogo!E:F,2,0)</f>
        <v xml:space="preserve">Inventarios inmobiliarios y costos pagados por anticipado </v>
      </c>
      <c r="AI61" s="20" t="str">
        <f>+VLOOKUP(AG61,Catálogo!E:G,3,0)</f>
        <v>Gastos legales, financieros y por trámites (iii)</v>
      </c>
    </row>
    <row r="62" spans="1:35">
      <c r="A62" s="240">
        <v>123</v>
      </c>
      <c r="B62" s="240">
        <v>7</v>
      </c>
      <c r="C62" s="241">
        <v>3</v>
      </c>
      <c r="D62" s="52" t="s">
        <v>57</v>
      </c>
      <c r="E62" s="242">
        <v>5458808.8799999999</v>
      </c>
      <c r="F62" s="242">
        <v>0</v>
      </c>
      <c r="G62" s="242">
        <v>0</v>
      </c>
      <c r="H62" s="242">
        <v>5458808.8799999999</v>
      </c>
      <c r="I62"/>
      <c r="J62" s="194">
        <f t="shared" si="1"/>
        <v>5459</v>
      </c>
      <c r="K62" s="201" t="str">
        <f t="shared" si="2"/>
        <v>Inv</v>
      </c>
      <c r="L62" s="201" t="str">
        <f t="shared" si="3"/>
        <v>ok</v>
      </c>
      <c r="M62" s="202">
        <f t="shared" si="4"/>
        <v>5459</v>
      </c>
      <c r="N62" s="180"/>
      <c r="O62" s="202">
        <f t="shared" si="5"/>
        <v>5459</v>
      </c>
      <c r="P62" s="203"/>
      <c r="Q62"/>
      <c r="R62"/>
      <c r="S62" s="240">
        <v>123</v>
      </c>
      <c r="T62" s="240">
        <v>7</v>
      </c>
      <c r="U62" s="241">
        <v>3</v>
      </c>
      <c r="V62" s="52" t="s">
        <v>57</v>
      </c>
      <c r="W62" s="242">
        <v>5458808.8799999999</v>
      </c>
      <c r="X62" s="242">
        <v>0</v>
      </c>
      <c r="Y62" s="242">
        <v>0</v>
      </c>
      <c r="Z62" s="242">
        <f t="shared" si="6"/>
        <v>5459</v>
      </c>
      <c r="AG62" s="20" t="str">
        <f t="shared" si="0"/>
        <v>1237ESTUDIOS</v>
      </c>
      <c r="AH62" s="20" t="str">
        <f>+VLOOKUP(AG62,Catálogo!E:F,2,0)</f>
        <v xml:space="preserve">Inventarios inmobiliarios y costos pagados por anticipado </v>
      </c>
      <c r="AI62" s="20" t="str">
        <f>+VLOOKUP(AG62,Catálogo!E:G,3,0)</f>
        <v>Gastos legales, financieros y por trámites (iii)</v>
      </c>
    </row>
    <row r="63" spans="1:35">
      <c r="A63" s="240">
        <v>123</v>
      </c>
      <c r="B63" s="240">
        <v>7</v>
      </c>
      <c r="C63" s="241">
        <v>4</v>
      </c>
      <c r="D63" s="52" t="s">
        <v>58</v>
      </c>
      <c r="E63" s="242">
        <v>61630588.770000003</v>
      </c>
      <c r="F63" s="242">
        <v>112894.6</v>
      </c>
      <c r="G63" s="242">
        <v>-1753534.48</v>
      </c>
      <c r="H63" s="242">
        <v>59989948.890000001</v>
      </c>
      <c r="I63"/>
      <c r="J63" s="194">
        <f t="shared" si="1"/>
        <v>59990</v>
      </c>
      <c r="K63" s="201" t="str">
        <f t="shared" si="2"/>
        <v>Inv</v>
      </c>
      <c r="L63" s="201" t="str">
        <f t="shared" si="3"/>
        <v>ok</v>
      </c>
      <c r="M63" s="202">
        <f t="shared" si="4"/>
        <v>59990</v>
      </c>
      <c r="N63" s="180"/>
      <c r="O63" s="202">
        <f t="shared" si="5"/>
        <v>59990</v>
      </c>
      <c r="P63" s="203"/>
      <c r="Q63"/>
      <c r="R63"/>
      <c r="S63" s="240">
        <v>123</v>
      </c>
      <c r="T63" s="240">
        <v>7</v>
      </c>
      <c r="U63" s="241">
        <v>4</v>
      </c>
      <c r="V63" s="52" t="s">
        <v>58</v>
      </c>
      <c r="W63" s="242">
        <v>61630588.770000003</v>
      </c>
      <c r="X63" s="242">
        <v>112894.6</v>
      </c>
      <c r="Y63" s="242">
        <v>-1753534.48</v>
      </c>
      <c r="Z63" s="242">
        <f t="shared" si="6"/>
        <v>59990</v>
      </c>
      <c r="AG63" s="20" t="str">
        <f t="shared" si="0"/>
        <v>1237TRAMITES MUNICIPALES</v>
      </c>
      <c r="AH63" s="20" t="str">
        <f>+VLOOKUP(AG63,Catálogo!E:F,2,0)</f>
        <v xml:space="preserve">Inventarios inmobiliarios y costos pagados por anticipado </v>
      </c>
      <c r="AI63" s="20" t="str">
        <f>+VLOOKUP(AG63,Catálogo!E:G,3,0)</f>
        <v>Gastos legales, financieros y por trámites (iii)</v>
      </c>
    </row>
    <row r="64" spans="1:35">
      <c r="A64" s="240">
        <v>123</v>
      </c>
      <c r="B64" s="240">
        <v>7</v>
      </c>
      <c r="C64" s="241">
        <v>5</v>
      </c>
      <c r="D64" s="52" t="s">
        <v>59</v>
      </c>
      <c r="E64" s="242">
        <v>151123997.94</v>
      </c>
      <c r="F64" s="242">
        <v>15219416.34</v>
      </c>
      <c r="G64" s="242">
        <v>-1890696.84</v>
      </c>
      <c r="H64" s="242">
        <v>164452717.44</v>
      </c>
      <c r="I64"/>
      <c r="J64" s="194">
        <f t="shared" si="1"/>
        <v>164453</v>
      </c>
      <c r="K64" s="201" t="str">
        <f t="shared" si="2"/>
        <v>Inv</v>
      </c>
      <c r="L64" s="201" t="str">
        <f t="shared" si="3"/>
        <v>ok</v>
      </c>
      <c r="M64" s="202">
        <f t="shared" si="4"/>
        <v>164453</v>
      </c>
      <c r="N64" s="180"/>
      <c r="O64" s="202">
        <f t="shared" si="5"/>
        <v>164453</v>
      </c>
      <c r="P64" s="203"/>
      <c r="Q64"/>
      <c r="R64"/>
      <c r="S64" s="240">
        <v>123</v>
      </c>
      <c r="T64" s="240">
        <v>7</v>
      </c>
      <c r="U64" s="241">
        <v>5</v>
      </c>
      <c r="V64" s="52" t="s">
        <v>59</v>
      </c>
      <c r="W64" s="242">
        <v>151123997.94</v>
      </c>
      <c r="X64" s="242">
        <v>15219416.34</v>
      </c>
      <c r="Y64" s="242">
        <v>-1890696.84</v>
      </c>
      <c r="Z64" s="242">
        <f t="shared" si="6"/>
        <v>164453</v>
      </c>
      <c r="AG64" s="20" t="str">
        <f t="shared" si="0"/>
        <v>1237TRAMITES ESTATALES</v>
      </c>
      <c r="AH64" s="20" t="str">
        <f>+VLOOKUP(AG64,Catálogo!E:F,2,0)</f>
        <v xml:space="preserve">Inventarios inmobiliarios y costos pagados por anticipado </v>
      </c>
      <c r="AI64" s="20" t="str">
        <f>+VLOOKUP(AG64,Catálogo!E:G,3,0)</f>
        <v>Gastos legales, financieros y por trámites (iii)</v>
      </c>
    </row>
    <row r="65" spans="1:35">
      <c r="A65" s="240">
        <v>123</v>
      </c>
      <c r="B65" s="240">
        <v>7</v>
      </c>
      <c r="C65" s="241">
        <v>6</v>
      </c>
      <c r="D65" s="52" t="s">
        <v>60</v>
      </c>
      <c r="E65" s="242">
        <v>35274567.840000004</v>
      </c>
      <c r="F65" s="242">
        <v>2219086</v>
      </c>
      <c r="G65" s="242">
        <v>0</v>
      </c>
      <c r="H65" s="242">
        <v>37493653.840000004</v>
      </c>
      <c r="I65"/>
      <c r="J65" s="194">
        <f t="shared" si="1"/>
        <v>37494</v>
      </c>
      <c r="K65" s="201" t="str">
        <f t="shared" si="2"/>
        <v>Inv</v>
      </c>
      <c r="L65" s="201" t="str">
        <f t="shared" si="3"/>
        <v>ok</v>
      </c>
      <c r="M65" s="202">
        <f t="shared" si="4"/>
        <v>37494</v>
      </c>
      <c r="N65" s="180"/>
      <c r="O65" s="202">
        <f t="shared" si="5"/>
        <v>37494</v>
      </c>
      <c r="P65" s="203"/>
      <c r="Q65"/>
      <c r="R65"/>
      <c r="S65" s="240">
        <v>123</v>
      </c>
      <c r="T65" s="240">
        <v>7</v>
      </c>
      <c r="U65" s="241">
        <v>6</v>
      </c>
      <c r="V65" s="52" t="s">
        <v>60</v>
      </c>
      <c r="W65" s="242">
        <v>35274567.840000004</v>
      </c>
      <c r="X65" s="242">
        <v>2219086</v>
      </c>
      <c r="Y65" s="242">
        <v>0</v>
      </c>
      <c r="Z65" s="242">
        <f t="shared" si="6"/>
        <v>37494</v>
      </c>
      <c r="AG65" s="20" t="str">
        <f t="shared" si="0"/>
        <v>1237TRAMITES FEDERALES</v>
      </c>
      <c r="AH65" s="20" t="str">
        <f>+VLOOKUP(AG65,Catálogo!E:F,2,0)</f>
        <v xml:space="preserve">Inventarios inmobiliarios y costos pagados por anticipado </v>
      </c>
      <c r="AI65" s="20" t="str">
        <f>+VLOOKUP(AG65,Catálogo!E:G,3,0)</f>
        <v>Gastos legales, financieros y por trámites (iii)</v>
      </c>
    </row>
    <row r="66" spans="1:35">
      <c r="A66" s="240">
        <v>123</v>
      </c>
      <c r="B66" s="240">
        <v>7</v>
      </c>
      <c r="C66" s="241">
        <v>7</v>
      </c>
      <c r="D66" s="52" t="s">
        <v>61</v>
      </c>
      <c r="E66" s="242">
        <v>1214250</v>
      </c>
      <c r="F66" s="242">
        <v>0</v>
      </c>
      <c r="G66" s="242">
        <v>0</v>
      </c>
      <c r="H66" s="242">
        <v>1214250</v>
      </c>
      <c r="I66"/>
      <c r="J66" s="194">
        <f t="shared" si="1"/>
        <v>1214</v>
      </c>
      <c r="K66" s="201" t="str">
        <f t="shared" si="2"/>
        <v>Inv</v>
      </c>
      <c r="L66" s="201" t="str">
        <f t="shared" si="3"/>
        <v>ok</v>
      </c>
      <c r="M66" s="202">
        <f t="shared" si="4"/>
        <v>1214</v>
      </c>
      <c r="N66" s="180"/>
      <c r="O66" s="202">
        <f t="shared" si="5"/>
        <v>1214</v>
      </c>
      <c r="P66" s="203"/>
      <c r="Q66"/>
      <c r="R66"/>
      <c r="S66" s="240">
        <v>123</v>
      </c>
      <c r="T66" s="240">
        <v>7</v>
      </c>
      <c r="U66" s="241">
        <v>7</v>
      </c>
      <c r="V66" s="52" t="s">
        <v>61</v>
      </c>
      <c r="W66" s="242">
        <v>1214250</v>
      </c>
      <c r="X66" s="242">
        <v>0</v>
      </c>
      <c r="Y66" s="242">
        <v>0</v>
      </c>
      <c r="Z66" s="242">
        <f t="shared" si="6"/>
        <v>1214</v>
      </c>
      <c r="AG66" s="20" t="str">
        <f t="shared" si="0"/>
        <v>1237ANTEPPROYECTO</v>
      </c>
      <c r="AH66" s="20" t="str">
        <f>+VLOOKUP(AG66,Catálogo!E:F,2,0)</f>
        <v xml:space="preserve">Inventarios inmobiliarios y costos pagados por anticipado </v>
      </c>
      <c r="AI66" s="20" t="str">
        <f>+VLOOKUP(AG66,Catálogo!E:G,3,0)</f>
        <v>Gastos legales, financieros y por trámites (iii)</v>
      </c>
    </row>
    <row r="67" spans="1:35">
      <c r="A67" s="240">
        <v>123</v>
      </c>
      <c r="B67" s="240">
        <v>7</v>
      </c>
      <c r="C67" s="241">
        <v>8</v>
      </c>
      <c r="D67" s="52" t="s">
        <v>62</v>
      </c>
      <c r="E67" s="242">
        <v>9207183.25</v>
      </c>
      <c r="F67" s="242">
        <v>0</v>
      </c>
      <c r="G67" s="242">
        <v>0</v>
      </c>
      <c r="H67" s="242">
        <v>9207183.25</v>
      </c>
      <c r="I67"/>
      <c r="J67" s="194">
        <f t="shared" si="1"/>
        <v>9207</v>
      </c>
      <c r="K67" s="201" t="str">
        <f t="shared" si="2"/>
        <v>Inv</v>
      </c>
      <c r="L67" s="201" t="str">
        <f t="shared" si="3"/>
        <v>ok</v>
      </c>
      <c r="M67" s="202">
        <f t="shared" si="4"/>
        <v>9207</v>
      </c>
      <c r="N67" s="180"/>
      <c r="O67" s="202">
        <f t="shared" si="5"/>
        <v>9207</v>
      </c>
      <c r="P67" s="203"/>
      <c r="Q67"/>
      <c r="R67"/>
      <c r="S67" s="240">
        <v>123</v>
      </c>
      <c r="T67" s="240">
        <v>7</v>
      </c>
      <c r="U67" s="241">
        <v>8</v>
      </c>
      <c r="V67" s="52" t="s">
        <v>62</v>
      </c>
      <c r="W67" s="242">
        <v>9207183.25</v>
      </c>
      <c r="X67" s="242">
        <v>0</v>
      </c>
      <c r="Y67" s="242">
        <v>0</v>
      </c>
      <c r="Z67" s="242">
        <f t="shared" si="6"/>
        <v>9207</v>
      </c>
      <c r="AG67" s="20" t="str">
        <f t="shared" ref="AG67:AG130" si="7">+CONCATENATE(S67,T67,V67)</f>
        <v>1237PROYECTO EJECUTIVO</v>
      </c>
      <c r="AH67" s="20" t="str">
        <f>+VLOOKUP(AG67,Catálogo!E:F,2,0)</f>
        <v xml:space="preserve">Inventarios inmobiliarios y costos pagados por anticipado </v>
      </c>
      <c r="AI67" s="20" t="str">
        <f>+VLOOKUP(AG67,Catálogo!E:G,3,0)</f>
        <v>Gastos legales, financieros y por trámites (iii)</v>
      </c>
    </row>
    <row r="68" spans="1:35">
      <c r="A68" s="240">
        <v>123</v>
      </c>
      <c r="B68" s="240">
        <v>7</v>
      </c>
      <c r="C68" s="241">
        <v>9</v>
      </c>
      <c r="D68" s="52" t="s">
        <v>63</v>
      </c>
      <c r="E68" s="242">
        <v>7297746.4699999997</v>
      </c>
      <c r="F68" s="242">
        <v>0</v>
      </c>
      <c r="G68" s="242">
        <v>-252413.79</v>
      </c>
      <c r="H68" s="242">
        <v>7045332.6799999997</v>
      </c>
      <c r="I68"/>
      <c r="J68" s="194">
        <f t="shared" si="1"/>
        <v>7045</v>
      </c>
      <c r="K68" s="201" t="str">
        <f t="shared" si="2"/>
        <v>Inv</v>
      </c>
      <c r="L68" s="201" t="str">
        <f t="shared" si="3"/>
        <v>ok</v>
      </c>
      <c r="M68" s="202">
        <f t="shared" si="4"/>
        <v>7045</v>
      </c>
      <c r="N68" s="180"/>
      <c r="O68" s="202">
        <f t="shared" si="5"/>
        <v>7045</v>
      </c>
      <c r="P68" s="203"/>
      <c r="Q68"/>
      <c r="R68"/>
      <c r="S68" s="240">
        <v>123</v>
      </c>
      <c r="T68" s="240">
        <v>7</v>
      </c>
      <c r="U68" s="241">
        <v>9</v>
      </c>
      <c r="V68" s="52" t="s">
        <v>63</v>
      </c>
      <c r="W68" s="242">
        <v>7297746.4699999997</v>
      </c>
      <c r="X68" s="242">
        <v>0</v>
      </c>
      <c r="Y68" s="242">
        <v>-252413.79</v>
      </c>
      <c r="Z68" s="242">
        <f t="shared" si="6"/>
        <v>7045</v>
      </c>
      <c r="AG68" s="20" t="str">
        <f t="shared" si="7"/>
        <v>1237INGENIERIAS</v>
      </c>
      <c r="AH68" s="20" t="str">
        <f>+VLOOKUP(AG68,Catálogo!E:F,2,0)</f>
        <v xml:space="preserve">Inventarios inmobiliarios y costos pagados por anticipado </v>
      </c>
      <c r="AI68" s="20" t="str">
        <f>+VLOOKUP(AG68,Catálogo!E:G,3,0)</f>
        <v>Gastos legales, financieros y por trámites (iii)</v>
      </c>
    </row>
    <row r="69" spans="1:35">
      <c r="A69" s="240">
        <v>123</v>
      </c>
      <c r="B69" s="240">
        <v>7</v>
      </c>
      <c r="C69" s="241">
        <v>10</v>
      </c>
      <c r="D69" s="52" t="s">
        <v>64</v>
      </c>
      <c r="E69" s="242">
        <v>2159033.39</v>
      </c>
      <c r="F69" s="242">
        <v>8445.58</v>
      </c>
      <c r="G69" s="242">
        <v>-44999.99</v>
      </c>
      <c r="H69" s="242">
        <v>2122478.98</v>
      </c>
      <c r="I69"/>
      <c r="J69" s="194">
        <f t="shared" si="1"/>
        <v>2122</v>
      </c>
      <c r="K69" s="201" t="str">
        <f t="shared" si="2"/>
        <v>Inv</v>
      </c>
      <c r="L69" s="201" t="str">
        <f t="shared" si="3"/>
        <v>ok</v>
      </c>
      <c r="M69" s="202">
        <f t="shared" si="4"/>
        <v>2122</v>
      </c>
      <c r="N69" s="180"/>
      <c r="O69" s="202">
        <f t="shared" si="5"/>
        <v>2122</v>
      </c>
      <c r="P69" s="203"/>
      <c r="Q69"/>
      <c r="R69"/>
      <c r="S69" s="240">
        <v>123</v>
      </c>
      <c r="T69" s="240">
        <v>7</v>
      </c>
      <c r="U69" s="241">
        <v>10</v>
      </c>
      <c r="V69" s="52" t="s">
        <v>64</v>
      </c>
      <c r="W69" s="242">
        <v>2159033.39</v>
      </c>
      <c r="X69" s="242">
        <v>8445.58</v>
      </c>
      <c r="Y69" s="242">
        <v>-44999.99</v>
      </c>
      <c r="Z69" s="242">
        <f t="shared" si="6"/>
        <v>2122</v>
      </c>
      <c r="AG69" s="20" t="str">
        <f t="shared" si="7"/>
        <v>1237SERVICIOS</v>
      </c>
      <c r="AH69" s="20" t="str">
        <f>+VLOOKUP(AG69,Catálogo!E:F,2,0)</f>
        <v xml:space="preserve">Inventarios inmobiliarios y costos pagados por anticipado </v>
      </c>
      <c r="AI69" s="20" t="str">
        <f>+VLOOKUP(AG69,Catálogo!E:G,3,0)</f>
        <v>Gastos legales, financieros y por trámites (iii)</v>
      </c>
    </row>
    <row r="70" spans="1:35">
      <c r="A70" s="240">
        <v>123</v>
      </c>
      <c r="B70" s="240">
        <v>7</v>
      </c>
      <c r="C70" s="241">
        <v>11</v>
      </c>
      <c r="D70" s="52" t="s">
        <v>65</v>
      </c>
      <c r="E70" s="242">
        <v>80228685.170000002</v>
      </c>
      <c r="F70" s="242">
        <v>5295132.9000000004</v>
      </c>
      <c r="G70" s="242">
        <v>-5741716.4500000002</v>
      </c>
      <c r="H70" s="242">
        <v>79782101.620000005</v>
      </c>
      <c r="I70"/>
      <c r="J70" s="194">
        <f t="shared" si="1"/>
        <v>79782</v>
      </c>
      <c r="K70" s="201" t="str">
        <f t="shared" si="2"/>
        <v>Inv</v>
      </c>
      <c r="L70" s="201" t="str">
        <f t="shared" si="3"/>
        <v>ok</v>
      </c>
      <c r="M70" s="202">
        <f t="shared" si="4"/>
        <v>79782</v>
      </c>
      <c r="N70" s="180"/>
      <c r="O70" s="202">
        <f t="shared" si="5"/>
        <v>79782</v>
      </c>
      <c r="P70" s="203"/>
      <c r="Q70"/>
      <c r="R70"/>
      <c r="S70" s="240">
        <v>123</v>
      </c>
      <c r="T70" s="240">
        <v>7</v>
      </c>
      <c r="U70" s="241">
        <v>11</v>
      </c>
      <c r="V70" s="52" t="s">
        <v>65</v>
      </c>
      <c r="W70" s="242">
        <v>80228685.170000002</v>
      </c>
      <c r="X70" s="242">
        <v>5295132.9000000004</v>
      </c>
      <c r="Y70" s="242">
        <v>-5741716.4500000002</v>
      </c>
      <c r="Z70" s="242">
        <f t="shared" si="6"/>
        <v>79782</v>
      </c>
      <c r="AG70" s="20" t="str">
        <f t="shared" si="7"/>
        <v>1237FINANCIEROS</v>
      </c>
      <c r="AH70" s="20" t="str">
        <f>+VLOOKUP(AG70,Catálogo!E:F,2,0)</f>
        <v xml:space="preserve">Inventarios inmobiliarios y costos pagados por anticipado </v>
      </c>
      <c r="AI70" s="20" t="str">
        <f>+VLOOKUP(AG70,Catálogo!E:G,3,0)</f>
        <v>Gastos legales, financieros y por trámites (iii)</v>
      </c>
    </row>
    <row r="71" spans="1:35">
      <c r="A71" s="240">
        <v>123</v>
      </c>
      <c r="B71" s="240">
        <v>7</v>
      </c>
      <c r="C71" s="241">
        <v>12</v>
      </c>
      <c r="D71" s="52" t="s">
        <v>66</v>
      </c>
      <c r="E71" s="242">
        <v>86023792.109999999</v>
      </c>
      <c r="F71" s="242">
        <v>1791485.28</v>
      </c>
      <c r="G71" s="242">
        <v>-25119714.370000001</v>
      </c>
      <c r="H71" s="242">
        <v>62695563.020000003</v>
      </c>
      <c r="I71"/>
      <c r="J71" s="194">
        <f t="shared" si="1"/>
        <v>62696</v>
      </c>
      <c r="K71" s="201" t="str">
        <f t="shared" si="2"/>
        <v>Inv</v>
      </c>
      <c r="L71" s="201" t="str">
        <f t="shared" si="3"/>
        <v>ok</v>
      </c>
      <c r="M71" s="202">
        <f t="shared" si="4"/>
        <v>62696</v>
      </c>
      <c r="N71" s="180"/>
      <c r="O71" s="202">
        <f t="shared" si="5"/>
        <v>62696</v>
      </c>
      <c r="P71" s="203"/>
      <c r="Q71"/>
      <c r="R71"/>
      <c r="S71" s="240">
        <v>123</v>
      </c>
      <c r="T71" s="240">
        <v>7</v>
      </c>
      <c r="U71" s="241">
        <v>12</v>
      </c>
      <c r="V71" s="52" t="s">
        <v>66</v>
      </c>
      <c r="W71" s="242">
        <v>86023792.109999999</v>
      </c>
      <c r="X71" s="242">
        <v>1791485.28</v>
      </c>
      <c r="Y71" s="242">
        <v>-25119714.370000001</v>
      </c>
      <c r="Z71" s="242">
        <f t="shared" si="6"/>
        <v>62696</v>
      </c>
      <c r="AG71" s="20" t="str">
        <f t="shared" si="7"/>
        <v>1237ADMINISTRATIVOS DE OBRA</v>
      </c>
      <c r="AH71" s="20" t="str">
        <f>+VLOOKUP(AG71,Catálogo!E:F,2,0)</f>
        <v xml:space="preserve">Inventarios inmobiliarios y costos pagados por anticipado </v>
      </c>
      <c r="AI71" s="20" t="str">
        <f>+VLOOKUP(AG71,Catálogo!E:G,3,0)</f>
        <v>Gastos legales, financieros y por trámites (iii)</v>
      </c>
    </row>
    <row r="72" spans="1:35">
      <c r="A72" s="240">
        <v>123</v>
      </c>
      <c r="B72" s="240">
        <v>7</v>
      </c>
      <c r="C72" s="241">
        <v>13</v>
      </c>
      <c r="D72" s="52" t="s">
        <v>67</v>
      </c>
      <c r="E72" s="242">
        <v>1134463.32</v>
      </c>
      <c r="F72" s="242">
        <v>48038.45</v>
      </c>
      <c r="G72" s="242">
        <v>-1206689.46</v>
      </c>
      <c r="H72" s="242">
        <v>-24187.69</v>
      </c>
      <c r="I72"/>
      <c r="J72" s="194">
        <f t="shared" si="1"/>
        <v>-24</v>
      </c>
      <c r="K72" s="201" t="str">
        <f t="shared" si="2"/>
        <v>Inv</v>
      </c>
      <c r="L72" s="201" t="str">
        <f t="shared" si="3"/>
        <v>ok</v>
      </c>
      <c r="M72" s="202">
        <f t="shared" si="4"/>
        <v>-24</v>
      </c>
      <c r="N72" s="180"/>
      <c r="O72" s="202">
        <f t="shared" si="5"/>
        <v>-24</v>
      </c>
      <c r="P72" s="203"/>
      <c r="Q72"/>
      <c r="R72"/>
      <c r="S72" s="240">
        <v>123</v>
      </c>
      <c r="T72" s="240">
        <v>7</v>
      </c>
      <c r="U72" s="241">
        <v>13</v>
      </c>
      <c r="V72" s="52" t="s">
        <v>67</v>
      </c>
      <c r="W72" s="242">
        <v>1134463.32</v>
      </c>
      <c r="X72" s="242">
        <v>48038.45</v>
      </c>
      <c r="Y72" s="242">
        <v>-1206689.46</v>
      </c>
      <c r="Z72" s="242">
        <f t="shared" si="6"/>
        <v>-24</v>
      </c>
      <c r="AG72" s="20" t="str">
        <f t="shared" si="7"/>
        <v>1237ASESORIA Y GASTOS LEGALES</v>
      </c>
      <c r="AH72" s="20" t="str">
        <f>+VLOOKUP(AG72,Catálogo!E:F,2,0)</f>
        <v xml:space="preserve">Inventarios inmobiliarios y costos pagados por anticipado </v>
      </c>
      <c r="AI72" s="20" t="str">
        <f>+VLOOKUP(AG72,Catálogo!E:G,3,0)</f>
        <v>Gastos legales, financieros y por trámites (iii)</v>
      </c>
    </row>
    <row r="73" spans="1:35">
      <c r="A73" s="240">
        <v>123</v>
      </c>
      <c r="B73" s="240">
        <v>7</v>
      </c>
      <c r="C73" s="241">
        <v>18</v>
      </c>
      <c r="D73" s="52" t="s">
        <v>68</v>
      </c>
      <c r="E73" s="242">
        <v>26210114.25</v>
      </c>
      <c r="F73" s="242">
        <v>108062.01</v>
      </c>
      <c r="G73" s="242">
        <v>-22500</v>
      </c>
      <c r="H73" s="242">
        <v>26295676.260000002</v>
      </c>
      <c r="I73"/>
      <c r="J73" s="194">
        <f t="shared" si="1"/>
        <v>26296</v>
      </c>
      <c r="K73" s="201" t="str">
        <f t="shared" si="2"/>
        <v>Inv</v>
      </c>
      <c r="L73" s="201" t="str">
        <f t="shared" si="3"/>
        <v>ok</v>
      </c>
      <c r="M73" s="202">
        <f t="shared" si="4"/>
        <v>26296</v>
      </c>
      <c r="N73" s="180"/>
      <c r="O73" s="202">
        <f t="shared" si="5"/>
        <v>26296</v>
      </c>
      <c r="P73" s="203"/>
      <c r="Q73"/>
      <c r="R73"/>
      <c r="S73" s="240">
        <v>123</v>
      </c>
      <c r="T73" s="240">
        <v>7</v>
      </c>
      <c r="U73" s="241">
        <v>18</v>
      </c>
      <c r="V73" s="52" t="s">
        <v>68</v>
      </c>
      <c r="W73" s="242">
        <v>26210114.25</v>
      </c>
      <c r="X73" s="242">
        <v>108062.01</v>
      </c>
      <c r="Y73" s="242">
        <v>-22500</v>
      </c>
      <c r="Z73" s="242">
        <f t="shared" si="6"/>
        <v>26296</v>
      </c>
      <c r="AG73" s="20" t="str">
        <f t="shared" si="7"/>
        <v>1237COMERCIALIZACION PREOPERATIVOS</v>
      </c>
      <c r="AH73" s="20" t="str">
        <f>+VLOOKUP(AG73,Catálogo!E:F,2,0)</f>
        <v xml:space="preserve">Inventarios inmobiliarios y costos pagados por anticipado </v>
      </c>
      <c r="AI73" s="20" t="str">
        <f>+VLOOKUP(AG73,Catálogo!E:G,3,0)</f>
        <v>Gastos legales, financieros y por trámites (iii)</v>
      </c>
    </row>
    <row r="74" spans="1:35">
      <c r="A74" s="240">
        <v>123</v>
      </c>
      <c r="B74" s="240">
        <v>7</v>
      </c>
      <c r="C74" s="241">
        <v>24</v>
      </c>
      <c r="D74" s="52" t="s">
        <v>105</v>
      </c>
      <c r="E74" s="242">
        <v>3198.1</v>
      </c>
      <c r="F74" s="242">
        <v>0</v>
      </c>
      <c r="G74" s="242">
        <v>0</v>
      </c>
      <c r="H74" s="242">
        <v>3198.1</v>
      </c>
      <c r="I74"/>
      <c r="J74" s="194">
        <f t="shared" si="1"/>
        <v>3</v>
      </c>
      <c r="K74" s="201" t="str">
        <f t="shared" si="2"/>
        <v>Inv</v>
      </c>
      <c r="L74" s="201" t="str">
        <f t="shared" si="3"/>
        <v>ok</v>
      </c>
      <c r="M74" s="202">
        <f t="shared" si="4"/>
        <v>3</v>
      </c>
      <c r="N74" s="180"/>
      <c r="O74" s="202">
        <f t="shared" si="5"/>
        <v>3</v>
      </c>
      <c r="P74" s="203"/>
      <c r="Q74"/>
      <c r="R74"/>
      <c r="S74" s="240">
        <v>123</v>
      </c>
      <c r="T74" s="240">
        <v>7</v>
      </c>
      <c r="U74" s="241">
        <v>24</v>
      </c>
      <c r="V74" s="52" t="s">
        <v>105</v>
      </c>
      <c r="W74" s="242">
        <v>3198.1</v>
      </c>
      <c r="X74" s="242">
        <v>0</v>
      </c>
      <c r="Y74" s="242">
        <v>0</v>
      </c>
      <c r="Z74" s="242">
        <f t="shared" si="6"/>
        <v>3</v>
      </c>
      <c r="AG74" s="20" t="str">
        <f t="shared" si="7"/>
        <v>1237GASTOS NO DEDUCIBLES</v>
      </c>
      <c r="AH74" s="20" t="str">
        <f>+VLOOKUP(AG74,Catálogo!E:F,2,0)</f>
        <v xml:space="preserve">Inventarios inmobiliarios y costos pagados por anticipado </v>
      </c>
      <c r="AI74" s="20" t="str">
        <f>+VLOOKUP(AG74,Catálogo!E:G,3,0)</f>
        <v>Construcción en proceso (ii)</v>
      </c>
    </row>
    <row r="75" spans="1:35">
      <c r="A75" s="240">
        <v>123</v>
      </c>
      <c r="B75" s="240">
        <v>7</v>
      </c>
      <c r="C75" s="241">
        <v>123</v>
      </c>
      <c r="D75" s="52" t="s">
        <v>452</v>
      </c>
      <c r="E75" s="242">
        <v>74914.710000000006</v>
      </c>
      <c r="F75" s="242">
        <v>21232.880000000001</v>
      </c>
      <c r="G75" s="242">
        <v>0</v>
      </c>
      <c r="H75" s="242">
        <v>96147.59</v>
      </c>
      <c r="I75"/>
      <c r="J75" s="194">
        <f t="shared" si="1"/>
        <v>96</v>
      </c>
      <c r="K75" s="201" t="str">
        <f t="shared" si="2"/>
        <v>Inv</v>
      </c>
      <c r="L75" s="201" t="str">
        <f t="shared" si="3"/>
        <v>ok</v>
      </c>
      <c r="M75" s="202">
        <f t="shared" si="4"/>
        <v>96</v>
      </c>
      <c r="N75" s="180"/>
      <c r="O75" s="202">
        <f t="shared" si="5"/>
        <v>96</v>
      </c>
      <c r="P75" s="203"/>
      <c r="Q75"/>
      <c r="R75"/>
      <c r="S75" s="240">
        <v>123</v>
      </c>
      <c r="T75" s="240">
        <v>7</v>
      </c>
      <c r="U75" s="241">
        <v>123</v>
      </c>
      <c r="V75" s="52" t="s">
        <v>452</v>
      </c>
      <c r="W75" s="242">
        <v>74914.710000000006</v>
      </c>
      <c r="X75" s="242">
        <v>21232.880000000001</v>
      </c>
      <c r="Y75" s="242">
        <v>0</v>
      </c>
      <c r="Z75" s="242">
        <f t="shared" si="6"/>
        <v>96</v>
      </c>
      <c r="AG75" s="20" t="str">
        <f t="shared" si="7"/>
        <v>1237GASTOS ADMINISTRATIVOS OBRA</v>
      </c>
      <c r="AH75" s="20" t="str">
        <f>+VLOOKUP(AG75,Catálogo!E:F,2,0)</f>
        <v xml:space="preserve">Inventarios inmobiliarios y costos pagados por anticipado </v>
      </c>
      <c r="AI75" s="20" t="str">
        <f>+VLOOKUP(AG75,Catálogo!E:G,3,0)</f>
        <v>Construcción en proceso (ii)</v>
      </c>
    </row>
    <row r="76" spans="1:35">
      <c r="A76" s="240">
        <v>123</v>
      </c>
      <c r="B76" s="240">
        <v>9</v>
      </c>
      <c r="C76" s="241">
        <v>0</v>
      </c>
      <c r="D76" s="52" t="s">
        <v>539</v>
      </c>
      <c r="E76" s="242">
        <v>20180706.079999998</v>
      </c>
      <c r="F76" s="242">
        <v>0</v>
      </c>
      <c r="G76" s="242">
        <v>-299999.98</v>
      </c>
      <c r="H76" s="242">
        <v>19880706.100000001</v>
      </c>
      <c r="I76"/>
      <c r="J76" s="194">
        <f t="shared" ref="J76:J139" si="8">+ROUND(H76/1000,0)</f>
        <v>19881</v>
      </c>
      <c r="K76" s="201">
        <f>+IFERROR(LEFT(AH76,3),0)</f>
        <v>0</v>
      </c>
      <c r="L76" s="201">
        <f t="shared" ref="L76:L139" si="9">+IFERROR(ABS(K76),"ok")</f>
        <v>0</v>
      </c>
      <c r="M76" s="202">
        <f t="shared" ref="M76:M139" si="10">+IF(L76="ok",J76,0)</f>
        <v>0</v>
      </c>
      <c r="N76" s="180"/>
      <c r="O76" s="202">
        <f t="shared" ref="O76:O139" si="11">+M76+N76</f>
        <v>0</v>
      </c>
      <c r="P76" s="203"/>
      <c r="Q76"/>
      <c r="R76"/>
      <c r="S76" s="240">
        <v>123</v>
      </c>
      <c r="T76" s="240">
        <v>9</v>
      </c>
      <c r="U76" s="241">
        <v>0</v>
      </c>
      <c r="V76" s="52" t="s">
        <v>551</v>
      </c>
      <c r="W76" s="242">
        <v>20180706.079999998</v>
      </c>
      <c r="X76" s="242">
        <v>0</v>
      </c>
      <c r="Y76" s="242">
        <v>-299999.98</v>
      </c>
      <c r="Z76" s="242">
        <f t="shared" ref="Z76:Z139" si="12">+O76</f>
        <v>0</v>
      </c>
      <c r="AG76" s="20" t="str">
        <f>+CONCATENATE(S76,T76,V76)</f>
        <v>1239 COMERCIALIZACION.</v>
      </c>
      <c r="AH76" s="20" t="e">
        <f>+VLOOKUP(AG76,Catálogo!E:F,2,0)</f>
        <v>#N/A</v>
      </c>
    </row>
    <row r="77" spans="1:35">
      <c r="A77" s="240">
        <v>123</v>
      </c>
      <c r="B77" s="240">
        <v>9</v>
      </c>
      <c r="C77" s="241">
        <v>1</v>
      </c>
      <c r="D77" s="52" t="s">
        <v>70</v>
      </c>
      <c r="E77" s="242">
        <v>20180706.079999998</v>
      </c>
      <c r="F77" s="242">
        <v>0</v>
      </c>
      <c r="G77" s="242">
        <v>-299999.98</v>
      </c>
      <c r="H77" s="242">
        <v>19880706.100000001</v>
      </c>
      <c r="I77"/>
      <c r="J77" s="194">
        <f t="shared" si="8"/>
        <v>19881</v>
      </c>
      <c r="K77" s="201" t="str">
        <f t="shared" ref="K77:K140" si="13">+IFERROR(LEFT(AH77,3),0)</f>
        <v>Inv</v>
      </c>
      <c r="L77" s="201" t="str">
        <f>+IFERROR(ABS(K77),"ok")</f>
        <v>ok</v>
      </c>
      <c r="M77" s="202">
        <f t="shared" si="10"/>
        <v>19881</v>
      </c>
      <c r="N77" s="180"/>
      <c r="O77" s="202">
        <f t="shared" si="11"/>
        <v>19881</v>
      </c>
      <c r="P77" s="203"/>
      <c r="Q77"/>
      <c r="R77"/>
      <c r="S77" s="240">
        <v>123</v>
      </c>
      <c r="T77" s="240">
        <v>9</v>
      </c>
      <c r="U77" s="241">
        <v>1</v>
      </c>
      <c r="V77" s="52" t="s">
        <v>70</v>
      </c>
      <c r="W77" s="242">
        <v>20180706.079999998</v>
      </c>
      <c r="X77" s="242">
        <v>0</v>
      </c>
      <c r="Y77" s="242">
        <v>-299999.98</v>
      </c>
      <c r="Z77" s="242">
        <f t="shared" si="12"/>
        <v>19881</v>
      </c>
      <c r="AG77" s="20" t="str">
        <f t="shared" si="7"/>
        <v>1239COMERCIALIZACION</v>
      </c>
      <c r="AH77" s="20" t="str">
        <f>+VLOOKUP(AG77,Catálogo!E:F,2,0)</f>
        <v xml:space="preserve">Inventarios inmobiliarios y costos pagados por anticipado </v>
      </c>
      <c r="AI77" s="20" t="str">
        <f>+VLOOKUP(AG77,Catálogo!E:G,3,0)</f>
        <v>Gastos administrativos y de comercialización (iv)</v>
      </c>
    </row>
    <row r="78" spans="1:35">
      <c r="A78" s="240">
        <v>124</v>
      </c>
      <c r="B78" s="240">
        <v>0</v>
      </c>
      <c r="C78" s="241">
        <v>0</v>
      </c>
      <c r="D78" s="52" t="s">
        <v>453</v>
      </c>
      <c r="E78" s="242">
        <v>47000.28</v>
      </c>
      <c r="F78" s="242">
        <v>0</v>
      </c>
      <c r="G78" s="242">
        <v>-405.18</v>
      </c>
      <c r="H78" s="242">
        <v>46595.1</v>
      </c>
      <c r="I78"/>
      <c r="J78" s="194">
        <f t="shared" si="8"/>
        <v>47</v>
      </c>
      <c r="K78" s="201" t="str">
        <f t="shared" si="13"/>
        <v>0</v>
      </c>
      <c r="L78" s="201">
        <f t="shared" si="9"/>
        <v>0</v>
      </c>
      <c r="M78" s="202">
        <f t="shared" si="10"/>
        <v>0</v>
      </c>
      <c r="N78" s="180"/>
      <c r="O78" s="202">
        <f t="shared" si="11"/>
        <v>0</v>
      </c>
      <c r="P78" s="203"/>
      <c r="Q78"/>
      <c r="R78"/>
      <c r="S78" s="240">
        <v>124</v>
      </c>
      <c r="T78" s="240">
        <v>0</v>
      </c>
      <c r="U78" s="241">
        <v>0</v>
      </c>
      <c r="V78" s="52" t="s">
        <v>453</v>
      </c>
      <c r="W78" s="242">
        <v>47000.28</v>
      </c>
      <c r="X78" s="242">
        <v>0</v>
      </c>
      <c r="Y78" s="242">
        <v>-405.18</v>
      </c>
      <c r="Z78" s="242">
        <f t="shared" si="12"/>
        <v>0</v>
      </c>
      <c r="AG78" s="20" t="str">
        <f t="shared" si="7"/>
        <v>1240MOBILIARIO Y EQUIPO DE OFICINA</v>
      </c>
      <c r="AH78" s="20">
        <f>+VLOOKUP(AG78,Catálogo!E:F,2,0)</f>
        <v>0</v>
      </c>
      <c r="AI78" s="20">
        <f>+VLOOKUP(AG78,Catálogo!E:G,3,0)</f>
        <v>0</v>
      </c>
    </row>
    <row r="79" spans="1:35">
      <c r="A79" s="240">
        <v>124</v>
      </c>
      <c r="B79" s="240">
        <v>1</v>
      </c>
      <c r="C79" s="241">
        <v>0</v>
      </c>
      <c r="D79" s="52" t="s">
        <v>40</v>
      </c>
      <c r="E79" s="242">
        <v>48621</v>
      </c>
      <c r="F79" s="242">
        <v>0</v>
      </c>
      <c r="G79" s="242">
        <v>0</v>
      </c>
      <c r="H79" s="242">
        <v>48621</v>
      </c>
      <c r="I79"/>
      <c r="J79" s="194">
        <f t="shared" si="8"/>
        <v>49</v>
      </c>
      <c r="K79" s="201" t="str">
        <f t="shared" si="13"/>
        <v>0</v>
      </c>
      <c r="L79" s="201">
        <f t="shared" si="9"/>
        <v>0</v>
      </c>
      <c r="M79" s="202">
        <f t="shared" si="10"/>
        <v>0</v>
      </c>
      <c r="N79" s="180"/>
      <c r="O79" s="202">
        <f t="shared" si="11"/>
        <v>0</v>
      </c>
      <c r="P79" s="203"/>
      <c r="Q79"/>
      <c r="R79"/>
      <c r="S79" s="240">
        <v>124</v>
      </c>
      <c r="T79" s="240">
        <v>1</v>
      </c>
      <c r="U79" s="241">
        <v>0</v>
      </c>
      <c r="V79" s="52" t="s">
        <v>40</v>
      </c>
      <c r="W79" s="242">
        <v>48621</v>
      </c>
      <c r="X79" s="242">
        <v>0</v>
      </c>
      <c r="Y79" s="242">
        <v>0</v>
      </c>
      <c r="Z79" s="242">
        <f t="shared" si="12"/>
        <v>0</v>
      </c>
      <c r="AG79" s="20" t="str">
        <f t="shared" si="7"/>
        <v>1241INVERSIÓN</v>
      </c>
      <c r="AH79" s="20">
        <f>+VLOOKUP(AG79,Catálogo!E:F,2,0)</f>
        <v>0</v>
      </c>
      <c r="AI79" s="20">
        <f>+VLOOKUP(AG79,Catálogo!E:G,3,0)</f>
        <v>0</v>
      </c>
    </row>
    <row r="80" spans="1:35">
      <c r="A80" s="240">
        <v>124</v>
      </c>
      <c r="B80" s="240">
        <v>1</v>
      </c>
      <c r="C80" s="241">
        <v>1</v>
      </c>
      <c r="D80" s="52" t="s">
        <v>454</v>
      </c>
      <c r="E80" s="242">
        <v>48621</v>
      </c>
      <c r="F80" s="242">
        <v>0</v>
      </c>
      <c r="G80" s="242">
        <v>0</v>
      </c>
      <c r="H80" s="242">
        <v>48621</v>
      </c>
      <c r="I80"/>
      <c r="J80" s="194">
        <f t="shared" si="8"/>
        <v>49</v>
      </c>
      <c r="K80" s="201" t="str">
        <f t="shared" si="13"/>
        <v>Mob</v>
      </c>
      <c r="L80" s="201" t="str">
        <f t="shared" si="9"/>
        <v>ok</v>
      </c>
      <c r="M80" s="202">
        <f t="shared" si="10"/>
        <v>49</v>
      </c>
      <c r="N80" s="180"/>
      <c r="O80" s="202">
        <f t="shared" si="11"/>
        <v>49</v>
      </c>
      <c r="P80" s="203"/>
      <c r="Q80"/>
      <c r="R80"/>
      <c r="S80" s="240">
        <v>124</v>
      </c>
      <c r="T80" s="240">
        <v>1</v>
      </c>
      <c r="U80" s="241">
        <v>1</v>
      </c>
      <c r="V80" s="52" t="s">
        <v>454</v>
      </c>
      <c r="W80" s="242">
        <v>48621</v>
      </c>
      <c r="X80" s="242">
        <v>0</v>
      </c>
      <c r="Y80" s="242">
        <v>0</v>
      </c>
      <c r="Z80" s="242">
        <f t="shared" si="12"/>
        <v>49</v>
      </c>
      <c r="AG80" s="20" t="str">
        <f t="shared" si="7"/>
        <v>1241MOBILIARIO Y EQP DE OFICINA</v>
      </c>
      <c r="AH80" s="20" t="str">
        <f>+VLOOKUP(AG80,Catálogo!E:F,2,0)</f>
        <v>Mobiliario y equipo, neto</v>
      </c>
      <c r="AI80" s="20">
        <f>+VLOOKUP(AG80,Catálogo!E:G,3,0)</f>
        <v>0</v>
      </c>
    </row>
    <row r="81" spans="1:35">
      <c r="A81" s="240">
        <v>124</v>
      </c>
      <c r="B81" s="240">
        <v>2</v>
      </c>
      <c r="C81" s="241">
        <v>0</v>
      </c>
      <c r="D81" s="52" t="s">
        <v>455</v>
      </c>
      <c r="E81" s="242">
        <v>-1620.72</v>
      </c>
      <c r="F81" s="242">
        <v>0</v>
      </c>
      <c r="G81" s="242">
        <v>-405.18</v>
      </c>
      <c r="H81" s="242">
        <v>-2025.9</v>
      </c>
      <c r="I81"/>
      <c r="J81" s="194">
        <f t="shared" si="8"/>
        <v>-2</v>
      </c>
      <c r="K81" s="201" t="str">
        <f t="shared" si="13"/>
        <v>Mob</v>
      </c>
      <c r="L81" s="201" t="str">
        <f t="shared" si="9"/>
        <v>ok</v>
      </c>
      <c r="M81" s="202">
        <f t="shared" si="10"/>
        <v>-2</v>
      </c>
      <c r="N81" s="180"/>
      <c r="O81" s="202">
        <f t="shared" si="11"/>
        <v>-2</v>
      </c>
      <c r="P81" s="203"/>
      <c r="Q81"/>
      <c r="R81"/>
      <c r="S81" s="240">
        <v>124</v>
      </c>
      <c r="T81" s="240">
        <v>2</v>
      </c>
      <c r="U81" s="241">
        <v>0</v>
      </c>
      <c r="V81" s="52" t="s">
        <v>455</v>
      </c>
      <c r="W81" s="242">
        <v>-1620.72</v>
      </c>
      <c r="X81" s="242">
        <v>0</v>
      </c>
      <c r="Y81" s="242">
        <v>-405.18</v>
      </c>
      <c r="Z81" s="242">
        <f t="shared" si="12"/>
        <v>-2</v>
      </c>
      <c r="AG81" s="20" t="str">
        <f t="shared" si="7"/>
        <v>1242DEPRECIACION MOB Y EQUIPO DE OFICINA</v>
      </c>
      <c r="AH81" s="20" t="str">
        <f>+VLOOKUP(AG81,Catálogo!E:F,2,0)</f>
        <v>Mobiliario y equipo, neto</v>
      </c>
      <c r="AI81" s="20">
        <f>+VLOOKUP(AG81,Catálogo!E:G,3,0)</f>
        <v>0</v>
      </c>
    </row>
    <row r="82" spans="1:35">
      <c r="A82" s="240">
        <v>125</v>
      </c>
      <c r="B82" s="240">
        <v>0</v>
      </c>
      <c r="C82" s="241">
        <v>0</v>
      </c>
      <c r="D82" s="52" t="s">
        <v>71</v>
      </c>
      <c r="E82" s="242">
        <v>184012.19</v>
      </c>
      <c r="F82" s="242">
        <v>46664</v>
      </c>
      <c r="G82" s="242">
        <v>-7815.01</v>
      </c>
      <c r="H82" s="242">
        <v>222861.18</v>
      </c>
      <c r="I82"/>
      <c r="J82" s="194">
        <f t="shared" si="8"/>
        <v>223</v>
      </c>
      <c r="K82" s="201">
        <f t="shared" si="13"/>
        <v>0</v>
      </c>
      <c r="L82" s="201">
        <f t="shared" si="9"/>
        <v>0</v>
      </c>
      <c r="M82" s="202">
        <f t="shared" si="10"/>
        <v>0</v>
      </c>
      <c r="N82" s="180"/>
      <c r="O82" s="202">
        <f t="shared" si="11"/>
        <v>0</v>
      </c>
      <c r="P82" s="203"/>
      <c r="Q82"/>
      <c r="R82"/>
      <c r="S82" s="240">
        <v>125</v>
      </c>
      <c r="T82" s="240">
        <v>0</v>
      </c>
      <c r="U82" s="241">
        <v>0</v>
      </c>
      <c r="V82" s="52" t="s">
        <v>71</v>
      </c>
      <c r="W82" s="242">
        <v>184012.19</v>
      </c>
      <c r="X82" s="242">
        <v>46664</v>
      </c>
      <c r="Y82" s="242">
        <v>-7815.01</v>
      </c>
      <c r="Z82" s="242">
        <f t="shared" si="12"/>
        <v>0</v>
      </c>
      <c r="AG82" s="20" t="str">
        <f t="shared" si="7"/>
        <v>1250EQUIPO DE COMPUTO</v>
      </c>
      <c r="AH82" s="20" t="e">
        <f>+VLOOKUP(AG82,Catálogo!E:F,2,0)</f>
        <v>#N/A</v>
      </c>
      <c r="AI82" s="20">
        <f>+VLOOKUP(AG82,Catálogo!E:G,3,0)</f>
        <v>0</v>
      </c>
    </row>
    <row r="83" spans="1:35">
      <c r="A83" s="240">
        <v>125</v>
      </c>
      <c r="B83" s="240">
        <v>1</v>
      </c>
      <c r="C83" s="241">
        <v>0</v>
      </c>
      <c r="D83" s="52" t="s">
        <v>72</v>
      </c>
      <c r="E83" s="242">
        <v>184012.19</v>
      </c>
      <c r="F83" s="242">
        <v>46664</v>
      </c>
      <c r="G83" s="242">
        <v>-7815.01</v>
      </c>
      <c r="H83" s="242">
        <v>222861.18</v>
      </c>
      <c r="I83"/>
      <c r="J83" s="194">
        <f t="shared" si="8"/>
        <v>223</v>
      </c>
      <c r="K83" s="201">
        <f t="shared" si="13"/>
        <v>0</v>
      </c>
      <c r="L83" s="201">
        <f t="shared" si="9"/>
        <v>0</v>
      </c>
      <c r="M83" s="202">
        <f t="shared" si="10"/>
        <v>0</v>
      </c>
      <c r="N83" s="180"/>
      <c r="O83" s="202">
        <f t="shared" si="11"/>
        <v>0</v>
      </c>
      <c r="P83" s="203"/>
      <c r="Q83"/>
      <c r="R83"/>
      <c r="S83" s="240">
        <v>125</v>
      </c>
      <c r="T83" s="240">
        <v>1</v>
      </c>
      <c r="U83" s="241">
        <v>0</v>
      </c>
      <c r="V83" s="52" t="s">
        <v>72</v>
      </c>
      <c r="W83" s="242">
        <v>184012.19</v>
      </c>
      <c r="X83" s="242">
        <v>46664</v>
      </c>
      <c r="Y83" s="242">
        <v>-7815.01</v>
      </c>
      <c r="Z83" s="242">
        <f t="shared" si="12"/>
        <v>0</v>
      </c>
      <c r="AG83" s="20" t="str">
        <f t="shared" si="7"/>
        <v>1251INVERSION EQUIPO DE COMPUTO</v>
      </c>
      <c r="AH83" s="20" t="e">
        <f>+VLOOKUP(AG83,Catálogo!E:F,2,0)</f>
        <v>#N/A</v>
      </c>
      <c r="AI83" s="20">
        <f>+VLOOKUP(AG83,Catálogo!E:G,3,0)</f>
        <v>0</v>
      </c>
    </row>
    <row r="84" spans="1:35">
      <c r="A84" s="240">
        <v>125</v>
      </c>
      <c r="B84" s="240">
        <v>1</v>
      </c>
      <c r="C84" s="241">
        <v>1</v>
      </c>
      <c r="D84" s="52" t="s">
        <v>73</v>
      </c>
      <c r="E84" s="242">
        <v>379800.4</v>
      </c>
      <c r="F84" s="242">
        <v>46664</v>
      </c>
      <c r="G84" s="242">
        <v>0</v>
      </c>
      <c r="H84" s="242">
        <v>426464.4</v>
      </c>
      <c r="I84"/>
      <c r="J84" s="194">
        <f t="shared" si="8"/>
        <v>426</v>
      </c>
      <c r="K84" s="201" t="str">
        <f t="shared" si="13"/>
        <v>Mob</v>
      </c>
      <c r="L84" s="201" t="str">
        <f t="shared" si="9"/>
        <v>ok</v>
      </c>
      <c r="M84" s="202">
        <f t="shared" si="10"/>
        <v>426</v>
      </c>
      <c r="N84" s="180"/>
      <c r="O84" s="202">
        <f t="shared" si="11"/>
        <v>426</v>
      </c>
      <c r="P84" s="203"/>
      <c r="Q84"/>
      <c r="R84"/>
      <c r="S84" s="240">
        <v>125</v>
      </c>
      <c r="T84" s="240">
        <v>1</v>
      </c>
      <c r="U84" s="241">
        <v>1</v>
      </c>
      <c r="V84" s="52" t="s">
        <v>73</v>
      </c>
      <c r="W84" s="242">
        <v>379800.4</v>
      </c>
      <c r="X84" s="242">
        <v>46664</v>
      </c>
      <c r="Y84" s="242">
        <v>0</v>
      </c>
      <c r="Z84" s="242">
        <f t="shared" si="12"/>
        <v>426</v>
      </c>
      <c r="AG84" s="20" t="str">
        <f t="shared" si="7"/>
        <v>1251INVERSIÓN EQP COMPUTO</v>
      </c>
      <c r="AH84" s="20" t="str">
        <f>+VLOOKUP(AG84,Catálogo!E:F,2,0)</f>
        <v>Mobiliario y equipo, neto</v>
      </c>
      <c r="AI84" s="20">
        <f>+VLOOKUP(AG84,Catálogo!E:G,3,0)</f>
        <v>0</v>
      </c>
    </row>
    <row r="85" spans="1:35">
      <c r="A85" s="240">
        <v>125</v>
      </c>
      <c r="B85" s="240">
        <v>1</v>
      </c>
      <c r="C85" s="241">
        <v>2</v>
      </c>
      <c r="D85" s="52" t="s">
        <v>74</v>
      </c>
      <c r="E85" s="242">
        <v>-195788.21</v>
      </c>
      <c r="F85" s="242">
        <v>0</v>
      </c>
      <c r="G85" s="242">
        <v>-7815.01</v>
      </c>
      <c r="H85" s="242">
        <v>-203603.22</v>
      </c>
      <c r="I85"/>
      <c r="J85" s="194">
        <f t="shared" si="8"/>
        <v>-204</v>
      </c>
      <c r="K85" s="201" t="str">
        <f t="shared" si="13"/>
        <v>Mob</v>
      </c>
      <c r="L85" s="201" t="str">
        <f t="shared" si="9"/>
        <v>ok</v>
      </c>
      <c r="M85" s="202">
        <f t="shared" si="10"/>
        <v>-204</v>
      </c>
      <c r="N85" s="180"/>
      <c r="O85" s="202">
        <f t="shared" si="11"/>
        <v>-204</v>
      </c>
      <c r="P85" s="203"/>
      <c r="Q85"/>
      <c r="R85"/>
      <c r="S85" s="240">
        <v>125</v>
      </c>
      <c r="T85" s="240">
        <v>1</v>
      </c>
      <c r="U85" s="241">
        <v>2</v>
      </c>
      <c r="V85" s="52" t="s">
        <v>74</v>
      </c>
      <c r="W85" s="242">
        <v>-195788.21</v>
      </c>
      <c r="X85" s="242">
        <v>0</v>
      </c>
      <c r="Y85" s="242">
        <v>-7815.01</v>
      </c>
      <c r="Z85" s="242">
        <f t="shared" si="12"/>
        <v>-204</v>
      </c>
      <c r="AG85" s="20" t="str">
        <f t="shared" si="7"/>
        <v>1251DEPRECIACIÓN EQP COMPUTO</v>
      </c>
      <c r="AH85" s="20" t="str">
        <f>+VLOOKUP(AG85,Catálogo!E:F,2,0)</f>
        <v>Mobiliario y equipo, neto</v>
      </c>
      <c r="AI85" s="20">
        <f>+VLOOKUP(AG85,Catálogo!E:G,3,0)</f>
        <v>0</v>
      </c>
    </row>
    <row r="86" spans="1:35">
      <c r="A86" s="240">
        <v>126</v>
      </c>
      <c r="B86" s="240">
        <v>0</v>
      </c>
      <c r="C86" s="241">
        <v>0</v>
      </c>
      <c r="D86" s="52" t="s">
        <v>456</v>
      </c>
      <c r="E86" s="242">
        <v>97664.18</v>
      </c>
      <c r="F86" s="242">
        <v>0</v>
      </c>
      <c r="G86" s="242">
        <v>-2790.4</v>
      </c>
      <c r="H86" s="242">
        <v>94873.78</v>
      </c>
      <c r="I86"/>
      <c r="J86" s="194">
        <f t="shared" si="8"/>
        <v>95</v>
      </c>
      <c r="K86" s="201" t="str">
        <f t="shared" si="13"/>
        <v>0</v>
      </c>
      <c r="L86" s="201">
        <f t="shared" si="9"/>
        <v>0</v>
      </c>
      <c r="M86" s="202">
        <f t="shared" si="10"/>
        <v>0</v>
      </c>
      <c r="N86" s="180"/>
      <c r="O86" s="202">
        <f t="shared" si="11"/>
        <v>0</v>
      </c>
      <c r="P86" s="203"/>
      <c r="Q86"/>
      <c r="R86"/>
      <c r="S86" s="240">
        <v>126</v>
      </c>
      <c r="T86" s="240">
        <v>0</v>
      </c>
      <c r="U86" s="241">
        <v>0</v>
      </c>
      <c r="V86" s="52" t="s">
        <v>456</v>
      </c>
      <c r="W86" s="242">
        <v>97664.18</v>
      </c>
      <c r="X86" s="242">
        <v>0</v>
      </c>
      <c r="Y86" s="242">
        <v>-2790.4</v>
      </c>
      <c r="Z86" s="242">
        <f t="shared" si="12"/>
        <v>0</v>
      </c>
      <c r="AG86" s="20" t="str">
        <f t="shared" si="7"/>
        <v>1260EQUIPO DE VIDEO VIGILANCIA</v>
      </c>
      <c r="AH86" s="20">
        <f>+VLOOKUP(AG86,Catálogo!E:F,2,0)</f>
        <v>0</v>
      </c>
      <c r="AI86" s="20">
        <f>+VLOOKUP(AG86,Catálogo!E:G,3,0)</f>
        <v>0</v>
      </c>
    </row>
    <row r="87" spans="1:35">
      <c r="A87" s="240">
        <v>126</v>
      </c>
      <c r="B87" s="240">
        <v>1</v>
      </c>
      <c r="C87" s="241">
        <v>0</v>
      </c>
      <c r="D87" s="52" t="s">
        <v>457</v>
      </c>
      <c r="E87" s="242">
        <v>111616.18</v>
      </c>
      <c r="F87" s="242">
        <v>0</v>
      </c>
      <c r="G87" s="242">
        <v>0</v>
      </c>
      <c r="H87" s="242">
        <v>111616.18</v>
      </c>
      <c r="I87"/>
      <c r="J87" s="194">
        <f t="shared" si="8"/>
        <v>112</v>
      </c>
      <c r="K87" s="201" t="str">
        <f t="shared" si="13"/>
        <v>0</v>
      </c>
      <c r="L87" s="201">
        <f t="shared" si="9"/>
        <v>0</v>
      </c>
      <c r="M87" s="202">
        <f t="shared" si="10"/>
        <v>0</v>
      </c>
      <c r="N87" s="180"/>
      <c r="O87" s="202">
        <f t="shared" si="11"/>
        <v>0</v>
      </c>
      <c r="P87" s="203"/>
      <c r="Q87"/>
      <c r="R87"/>
      <c r="S87" s="240">
        <v>126</v>
      </c>
      <c r="T87" s="240">
        <v>1</v>
      </c>
      <c r="U87" s="241">
        <v>0</v>
      </c>
      <c r="V87" s="52" t="s">
        <v>457</v>
      </c>
      <c r="W87" s="242">
        <v>111616.18</v>
      </c>
      <c r="X87" s="242">
        <v>0</v>
      </c>
      <c r="Y87" s="242">
        <v>0</v>
      </c>
      <c r="Z87" s="242">
        <f t="shared" si="12"/>
        <v>0</v>
      </c>
      <c r="AG87" s="20" t="str">
        <f t="shared" si="7"/>
        <v>1261INVERSION</v>
      </c>
      <c r="AH87" s="20">
        <f>+VLOOKUP(AG87,Catálogo!E:F,2,0)</f>
        <v>0</v>
      </c>
      <c r="AI87" s="20">
        <f>+VLOOKUP(AG87,Catálogo!E:G,3,0)</f>
        <v>0</v>
      </c>
    </row>
    <row r="88" spans="1:35">
      <c r="A88" s="240">
        <v>126</v>
      </c>
      <c r="B88" s="240">
        <v>1</v>
      </c>
      <c r="C88" s="241">
        <v>1</v>
      </c>
      <c r="D88" s="52" t="s">
        <v>458</v>
      </c>
      <c r="E88" s="242">
        <v>111616.18</v>
      </c>
      <c r="F88" s="242">
        <v>0</v>
      </c>
      <c r="G88" s="242">
        <v>0</v>
      </c>
      <c r="H88" s="242">
        <v>111616.18</v>
      </c>
      <c r="I88"/>
      <c r="J88" s="194">
        <f t="shared" si="8"/>
        <v>112</v>
      </c>
      <c r="K88" s="201" t="str">
        <f t="shared" si="13"/>
        <v>Mob</v>
      </c>
      <c r="L88" s="201" t="str">
        <f t="shared" si="9"/>
        <v>ok</v>
      </c>
      <c r="M88" s="202">
        <f t="shared" si="10"/>
        <v>112</v>
      </c>
      <c r="N88" s="180"/>
      <c r="O88" s="202">
        <f t="shared" si="11"/>
        <v>112</v>
      </c>
      <c r="P88" s="203"/>
      <c r="Q88"/>
      <c r="R88"/>
      <c r="S88" s="240">
        <v>126</v>
      </c>
      <c r="T88" s="240">
        <v>1</v>
      </c>
      <c r="U88" s="241">
        <v>1</v>
      </c>
      <c r="V88" s="52" t="s">
        <v>458</v>
      </c>
      <c r="W88" s="242">
        <v>111616.18</v>
      </c>
      <c r="X88" s="242">
        <v>0</v>
      </c>
      <c r="Y88" s="242">
        <v>0</v>
      </c>
      <c r="Z88" s="242">
        <f t="shared" si="12"/>
        <v>112</v>
      </c>
      <c r="AG88" s="20" t="str">
        <f t="shared" si="7"/>
        <v>1261CIRCUITO CERRADO DE TV</v>
      </c>
      <c r="AH88" s="20" t="str">
        <f>+VLOOKUP(AG88,Catálogo!E:F,2,0)</f>
        <v>Mobiliario y equipo, neto</v>
      </c>
      <c r="AI88" s="20">
        <f>+VLOOKUP(AG88,Catálogo!E:G,3,0)</f>
        <v>0</v>
      </c>
    </row>
    <row r="89" spans="1:35" ht="16.899999999999999" customHeight="1">
      <c r="A89" s="240">
        <v>126</v>
      </c>
      <c r="B89" s="240">
        <v>2</v>
      </c>
      <c r="C89" s="241">
        <v>0</v>
      </c>
      <c r="D89" s="52" t="s">
        <v>459</v>
      </c>
      <c r="E89" s="242">
        <v>-13952</v>
      </c>
      <c r="F89" s="242">
        <v>0</v>
      </c>
      <c r="G89" s="242">
        <v>-2790.4</v>
      </c>
      <c r="H89" s="242">
        <v>-16742.400000000001</v>
      </c>
      <c r="I89"/>
      <c r="J89" s="194">
        <f t="shared" si="8"/>
        <v>-17</v>
      </c>
      <c r="K89" s="201" t="str">
        <f t="shared" si="13"/>
        <v>Mob</v>
      </c>
      <c r="L89" s="201" t="str">
        <f t="shared" si="9"/>
        <v>ok</v>
      </c>
      <c r="M89" s="202">
        <f t="shared" si="10"/>
        <v>-17</v>
      </c>
      <c r="N89" s="180"/>
      <c r="O89" s="202">
        <f t="shared" si="11"/>
        <v>-17</v>
      </c>
      <c r="P89" s="203"/>
      <c r="Q89"/>
      <c r="R89"/>
      <c r="S89" s="240">
        <v>126</v>
      </c>
      <c r="T89" s="240">
        <v>2</v>
      </c>
      <c r="U89" s="241">
        <v>0</v>
      </c>
      <c r="V89" s="52" t="s">
        <v>459</v>
      </c>
      <c r="W89" s="242">
        <v>-13952</v>
      </c>
      <c r="X89" s="242">
        <v>0</v>
      </c>
      <c r="Y89" s="242">
        <v>-2790.4</v>
      </c>
      <c r="Z89" s="242">
        <f t="shared" si="12"/>
        <v>-17</v>
      </c>
      <c r="AG89" s="20" t="str">
        <f t="shared" si="7"/>
        <v>1262DEPRECIACION EQP DE VIDEO VIGILANCIA</v>
      </c>
      <c r="AH89" s="20" t="str">
        <f>+VLOOKUP(AG89,Catálogo!E:F,2,0)</f>
        <v>Mobiliario y equipo, neto</v>
      </c>
      <c r="AI89" s="20">
        <f>+VLOOKUP(AG89,Catálogo!E:G,3,0)</f>
        <v>0</v>
      </c>
    </row>
    <row r="90" spans="1:35" ht="16.149999999999999" customHeight="1">
      <c r="A90" s="240">
        <v>173</v>
      </c>
      <c r="B90" s="240">
        <v>0</v>
      </c>
      <c r="C90" s="241">
        <v>0</v>
      </c>
      <c r="D90" s="52" t="s">
        <v>75</v>
      </c>
      <c r="E90" s="242">
        <v>128355</v>
      </c>
      <c r="F90" s="242">
        <v>0</v>
      </c>
      <c r="G90" s="242">
        <v>0</v>
      </c>
      <c r="H90" s="242">
        <v>128355</v>
      </c>
      <c r="I90"/>
      <c r="J90" s="194">
        <f t="shared" si="8"/>
        <v>128</v>
      </c>
      <c r="K90" s="201">
        <f t="shared" si="13"/>
        <v>0</v>
      </c>
      <c r="L90" s="201">
        <f t="shared" si="9"/>
        <v>0</v>
      </c>
      <c r="M90" s="202">
        <f t="shared" si="10"/>
        <v>0</v>
      </c>
      <c r="N90" s="180"/>
      <c r="O90" s="202">
        <f t="shared" si="11"/>
        <v>0</v>
      </c>
      <c r="P90" s="203"/>
      <c r="Q90"/>
      <c r="R90"/>
      <c r="S90" s="240">
        <v>173</v>
      </c>
      <c r="T90" s="240">
        <v>0</v>
      </c>
      <c r="U90" s="241">
        <v>0</v>
      </c>
      <c r="V90" s="52" t="s">
        <v>75</v>
      </c>
      <c r="W90" s="242">
        <v>128355</v>
      </c>
      <c r="X90" s="242">
        <v>0</v>
      </c>
      <c r="Y90" s="242">
        <v>0</v>
      </c>
      <c r="Z90" s="242">
        <f t="shared" si="12"/>
        <v>0</v>
      </c>
      <c r="AG90" s="20" t="str">
        <f t="shared" si="7"/>
        <v>1730DEPOSITOS EN GARANTIA</v>
      </c>
      <c r="AH90" s="20" t="e">
        <f>+VLOOKUP(AG90,Catálogo!E:F,2,0)</f>
        <v>#N/A</v>
      </c>
      <c r="AI90" s="20">
        <f>+VLOOKUP(AG90,Catálogo!E:G,3,0)</f>
        <v>0</v>
      </c>
    </row>
    <row r="91" spans="1:35">
      <c r="A91" s="240">
        <v>173</v>
      </c>
      <c r="B91" s="240">
        <v>1</v>
      </c>
      <c r="C91" s="241">
        <v>0</v>
      </c>
      <c r="D91" s="52" t="s">
        <v>76</v>
      </c>
      <c r="E91" s="242">
        <v>128355</v>
      </c>
      <c r="F91" s="242">
        <v>0</v>
      </c>
      <c r="G91" s="242">
        <v>0</v>
      </c>
      <c r="H91" s="242">
        <v>128355</v>
      </c>
      <c r="I91"/>
      <c r="J91" s="194">
        <f t="shared" si="8"/>
        <v>128</v>
      </c>
      <c r="K91" s="201" t="str">
        <f t="shared" si="13"/>
        <v>Inv</v>
      </c>
      <c r="L91" s="201" t="str">
        <f t="shared" si="9"/>
        <v>ok</v>
      </c>
      <c r="M91" s="202">
        <f t="shared" si="10"/>
        <v>128</v>
      </c>
      <c r="N91" s="180"/>
      <c r="O91" s="202">
        <f t="shared" si="11"/>
        <v>128</v>
      </c>
      <c r="P91" s="203"/>
      <c r="Q91"/>
      <c r="R91"/>
      <c r="S91" s="240">
        <v>173</v>
      </c>
      <c r="T91" s="240">
        <v>1</v>
      </c>
      <c r="U91" s="241">
        <v>0</v>
      </c>
      <c r="V91" s="52" t="s">
        <v>76</v>
      </c>
      <c r="W91" s="242">
        <v>128355</v>
      </c>
      <c r="X91" s="242">
        <v>0</v>
      </c>
      <c r="Y91" s="242">
        <v>0</v>
      </c>
      <c r="Z91" s="242">
        <f t="shared" si="12"/>
        <v>128</v>
      </c>
      <c r="AG91" s="20" t="str">
        <f t="shared" si="7"/>
        <v>1731DEPOSITOS EN GARANTIA M.N.</v>
      </c>
      <c r="AH91" s="20" t="str">
        <f>+VLOOKUP(AG91,Catálogo!E:F,2,0)</f>
        <v xml:space="preserve">Inventarios inmobiliarios y costos pagados por anticipado </v>
      </c>
      <c r="AI91" s="20" t="str">
        <f>+VLOOKUP(AG91,Catálogo!E:G,3,0)</f>
        <v>Otros pagos anticipados (v)</v>
      </c>
    </row>
    <row r="92" spans="1:35">
      <c r="A92" s="240">
        <v>201</v>
      </c>
      <c r="B92" s="240">
        <v>0</v>
      </c>
      <c r="C92" s="241">
        <v>0</v>
      </c>
      <c r="D92" s="52" t="s">
        <v>77</v>
      </c>
      <c r="E92" s="242">
        <v>-39413465.969999999</v>
      </c>
      <c r="F92" s="242">
        <v>33459821.719999999</v>
      </c>
      <c r="G92" s="242">
        <v>-30024995.059999999</v>
      </c>
      <c r="H92" s="242">
        <v>-35978639.310000002</v>
      </c>
      <c r="I92"/>
      <c r="J92" s="194">
        <f t="shared" si="8"/>
        <v>-35979</v>
      </c>
      <c r="K92" s="201">
        <f t="shared" si="13"/>
        <v>0</v>
      </c>
      <c r="L92" s="201">
        <f t="shared" si="9"/>
        <v>0</v>
      </c>
      <c r="M92" s="202">
        <f t="shared" si="10"/>
        <v>0</v>
      </c>
      <c r="N92" s="180"/>
      <c r="O92" s="202">
        <f t="shared" si="11"/>
        <v>0</v>
      </c>
      <c r="P92" s="203"/>
      <c r="Q92"/>
      <c r="R92"/>
      <c r="S92" s="240">
        <v>201</v>
      </c>
      <c r="T92" s="240">
        <v>0</v>
      </c>
      <c r="U92" s="241">
        <v>0</v>
      </c>
      <c r="V92" s="52" t="s">
        <v>77</v>
      </c>
      <c r="W92" s="242">
        <v>-39413465.969999999</v>
      </c>
      <c r="X92" s="242">
        <v>33459821.719999999</v>
      </c>
      <c r="Y92" s="242">
        <v>-30024995.059999999</v>
      </c>
      <c r="Z92" s="242">
        <f t="shared" si="12"/>
        <v>0</v>
      </c>
      <c r="AG92" s="20" t="str">
        <f t="shared" si="7"/>
        <v>2010PROVEEDORES</v>
      </c>
      <c r="AH92" s="20" t="e">
        <f>+VLOOKUP(AG92,Catálogo!E:F,2,0)</f>
        <v>#N/A</v>
      </c>
      <c r="AI92" s="20">
        <f>+VLOOKUP(AG92,Catálogo!E:G,3,0)</f>
        <v>0</v>
      </c>
    </row>
    <row r="93" spans="1:35">
      <c r="A93" s="240">
        <v>201</v>
      </c>
      <c r="B93" s="240">
        <v>1</v>
      </c>
      <c r="C93" s="241">
        <v>0</v>
      </c>
      <c r="D93" s="52" t="s">
        <v>78</v>
      </c>
      <c r="E93" s="242">
        <v>-39413465.969999999</v>
      </c>
      <c r="F93" s="242">
        <v>33459821.719999999</v>
      </c>
      <c r="G93" s="242">
        <v>-30024995.059999999</v>
      </c>
      <c r="H93" s="242">
        <v>-35978639.310000002</v>
      </c>
      <c r="I93"/>
      <c r="J93" s="194">
        <f t="shared" si="8"/>
        <v>-35979</v>
      </c>
      <c r="K93" s="201" t="str">
        <f t="shared" si="13"/>
        <v>Pro</v>
      </c>
      <c r="L93" s="201" t="str">
        <f t="shared" si="9"/>
        <v>ok</v>
      </c>
      <c r="M93" s="202">
        <f t="shared" si="10"/>
        <v>-35979</v>
      </c>
      <c r="N93" s="180"/>
      <c r="O93" s="202">
        <f t="shared" si="11"/>
        <v>-35979</v>
      </c>
      <c r="P93" s="203"/>
      <c r="Q93"/>
      <c r="R93"/>
      <c r="S93" s="240">
        <v>201</v>
      </c>
      <c r="T93" s="240">
        <v>1</v>
      </c>
      <c r="U93" s="241">
        <v>0</v>
      </c>
      <c r="V93" s="52" t="s">
        <v>78</v>
      </c>
      <c r="W93" s="242">
        <v>-39413465.969999999</v>
      </c>
      <c r="X93" s="242">
        <v>33459821.719999999</v>
      </c>
      <c r="Y93" s="242">
        <v>-30024995.059999999</v>
      </c>
      <c r="Z93" s="242">
        <f t="shared" si="12"/>
        <v>-35979</v>
      </c>
      <c r="AG93" s="20" t="str">
        <f t="shared" si="7"/>
        <v>2011PROVEEDORES M.N.</v>
      </c>
      <c r="AH93" s="20" t="str">
        <f>+VLOOKUP(AG93,Catálogo!E:F,2,0)</f>
        <v>Proveedores y acreedores diversos</v>
      </c>
      <c r="AI93" s="20">
        <f>+VLOOKUP(AG93,Catálogo!E:G,3,0)</f>
        <v>0</v>
      </c>
    </row>
    <row r="94" spans="1:35">
      <c r="A94" s="240">
        <v>202</v>
      </c>
      <c r="B94" s="240">
        <v>0</v>
      </c>
      <c r="C94" s="241">
        <v>0</v>
      </c>
      <c r="D94" s="52" t="s">
        <v>81</v>
      </c>
      <c r="E94" s="242">
        <v>-2032152.38</v>
      </c>
      <c r="F94" s="242">
        <v>50000</v>
      </c>
      <c r="G94" s="242">
        <v>0</v>
      </c>
      <c r="H94" s="242">
        <v>-1982152.38</v>
      </c>
      <c r="I94"/>
      <c r="J94" s="194">
        <f t="shared" si="8"/>
        <v>-1982</v>
      </c>
      <c r="K94" s="201">
        <f t="shared" si="13"/>
        <v>0</v>
      </c>
      <c r="L94" s="201">
        <f t="shared" si="9"/>
        <v>0</v>
      </c>
      <c r="M94" s="202">
        <f t="shared" si="10"/>
        <v>0</v>
      </c>
      <c r="N94" s="180"/>
      <c r="O94" s="202">
        <f t="shared" si="11"/>
        <v>0</v>
      </c>
      <c r="P94" s="203"/>
      <c r="Q94"/>
      <c r="R94"/>
      <c r="S94" s="240">
        <v>202</v>
      </c>
      <c r="T94" s="240">
        <v>0</v>
      </c>
      <c r="U94" s="241">
        <v>0</v>
      </c>
      <c r="V94" s="52" t="s">
        <v>81</v>
      </c>
      <c r="W94" s="242">
        <v>-2032152.38</v>
      </c>
      <c r="X94" s="242">
        <v>50000</v>
      </c>
      <c r="Y94" s="242">
        <v>0</v>
      </c>
      <c r="Z94" s="242">
        <f t="shared" si="12"/>
        <v>0</v>
      </c>
      <c r="AG94" s="20" t="str">
        <f t="shared" si="7"/>
        <v>2020ACREEDORES DIVERSOS</v>
      </c>
      <c r="AH94" s="20" t="e">
        <f>+VLOOKUP(AG94,Catálogo!E:F,2,0)</f>
        <v>#N/A</v>
      </c>
      <c r="AI94" s="20">
        <f>+VLOOKUP(AG94,Catálogo!E:G,3,0)</f>
        <v>0</v>
      </c>
    </row>
    <row r="95" spans="1:35">
      <c r="A95" s="240">
        <v>202</v>
      </c>
      <c r="B95" s="240">
        <v>1</v>
      </c>
      <c r="C95" s="241">
        <v>0</v>
      </c>
      <c r="D95" s="52" t="s">
        <v>82</v>
      </c>
      <c r="E95" s="242">
        <v>-2032152.38</v>
      </c>
      <c r="F95" s="242">
        <v>50000</v>
      </c>
      <c r="G95" s="242">
        <v>0</v>
      </c>
      <c r="H95" s="242">
        <v>-1982152.38</v>
      </c>
      <c r="I95"/>
      <c r="J95" s="194">
        <f t="shared" si="8"/>
        <v>-1982</v>
      </c>
      <c r="K95" s="201" t="str">
        <f t="shared" si="13"/>
        <v>Pro</v>
      </c>
      <c r="L95" s="201" t="str">
        <f t="shared" si="9"/>
        <v>ok</v>
      </c>
      <c r="M95" s="202">
        <f t="shared" si="10"/>
        <v>-1982</v>
      </c>
      <c r="N95" s="180"/>
      <c r="O95" s="202">
        <f t="shared" si="11"/>
        <v>-1982</v>
      </c>
      <c r="P95" s="203"/>
      <c r="Q95"/>
      <c r="R95"/>
      <c r="S95" s="240">
        <v>202</v>
      </c>
      <c r="T95" s="240">
        <v>1</v>
      </c>
      <c r="U95" s="241">
        <v>0</v>
      </c>
      <c r="V95" s="52" t="s">
        <v>82</v>
      </c>
      <c r="W95" s="242">
        <v>-2032152.38</v>
      </c>
      <c r="X95" s="242">
        <v>50000</v>
      </c>
      <c r="Y95" s="242">
        <v>0</v>
      </c>
      <c r="Z95" s="242">
        <f t="shared" si="12"/>
        <v>-1982</v>
      </c>
      <c r="AG95" s="20" t="str">
        <f t="shared" si="7"/>
        <v>2021ACREEDORES M.N.</v>
      </c>
      <c r="AH95" s="20" t="str">
        <f>+VLOOKUP(AG95,Catálogo!E:F,2,0)</f>
        <v>Proveedores y acreedores diversos</v>
      </c>
      <c r="AI95" s="20">
        <f>+VLOOKUP(AG95,Catálogo!E:G,3,0)</f>
        <v>0</v>
      </c>
    </row>
    <row r="96" spans="1:35" ht="15.6" customHeight="1">
      <c r="A96" s="240">
        <v>211</v>
      </c>
      <c r="B96" s="240">
        <v>0</v>
      </c>
      <c r="C96" s="241">
        <v>0</v>
      </c>
      <c r="D96" s="52" t="s">
        <v>460</v>
      </c>
      <c r="E96" s="242">
        <v>-2838818.85</v>
      </c>
      <c r="F96" s="242">
        <v>0</v>
      </c>
      <c r="G96" s="242">
        <v>-50396.83</v>
      </c>
      <c r="H96" s="242">
        <v>-2889215.68</v>
      </c>
      <c r="I96"/>
      <c r="J96" s="194">
        <f t="shared" si="8"/>
        <v>-2889</v>
      </c>
      <c r="K96" s="201" t="str">
        <f t="shared" si="13"/>
        <v>0</v>
      </c>
      <c r="L96" s="201">
        <f t="shared" si="9"/>
        <v>0</v>
      </c>
      <c r="M96" s="202">
        <f t="shared" si="10"/>
        <v>0</v>
      </c>
      <c r="N96" s="180"/>
      <c r="O96" s="202">
        <f t="shared" si="11"/>
        <v>0</v>
      </c>
      <c r="P96" s="203"/>
      <c r="Q96"/>
      <c r="R96"/>
      <c r="S96" s="240">
        <v>211</v>
      </c>
      <c r="T96" s="240">
        <v>0</v>
      </c>
      <c r="U96" s="241">
        <v>0</v>
      </c>
      <c r="V96" s="52" t="s">
        <v>460</v>
      </c>
      <c r="W96" s="242">
        <v>-2838818.85</v>
      </c>
      <c r="X96" s="242">
        <v>0</v>
      </c>
      <c r="Y96" s="242">
        <v>-50396.83</v>
      </c>
      <c r="Z96" s="242">
        <f t="shared" si="12"/>
        <v>0</v>
      </c>
      <c r="AG96" s="20" t="str">
        <f t="shared" si="7"/>
        <v>21105% RETENCION SOBRE CONSTRUCCION</v>
      </c>
      <c r="AH96" s="20">
        <f>+VLOOKUP(AG96,Catálogo!E:F,2,0)</f>
        <v>0</v>
      </c>
      <c r="AI96" s="81" t="s">
        <v>322</v>
      </c>
    </row>
    <row r="97" spans="1:35">
      <c r="A97" s="240">
        <v>211</v>
      </c>
      <c r="B97" s="240">
        <v>1</v>
      </c>
      <c r="C97" s="241">
        <v>0</v>
      </c>
      <c r="D97" s="52" t="s">
        <v>461</v>
      </c>
      <c r="E97" s="242">
        <v>-2838818.85</v>
      </c>
      <c r="F97" s="242">
        <v>0</v>
      </c>
      <c r="G97" s="242">
        <v>-50396.83</v>
      </c>
      <c r="H97" s="242">
        <v>-2889215.68</v>
      </c>
      <c r="I97"/>
      <c r="J97" s="194">
        <f t="shared" si="8"/>
        <v>-2889</v>
      </c>
      <c r="K97" s="201" t="str">
        <f t="shared" si="13"/>
        <v>Dep</v>
      </c>
      <c r="L97" s="201" t="str">
        <f t="shared" si="9"/>
        <v>ok</v>
      </c>
      <c r="M97" s="202">
        <f t="shared" si="10"/>
        <v>-2889</v>
      </c>
      <c r="N97" s="180"/>
      <c r="O97" s="202">
        <f t="shared" si="11"/>
        <v>-2889</v>
      </c>
      <c r="P97" s="203"/>
      <c r="Q97"/>
      <c r="R97"/>
      <c r="S97" s="240">
        <v>211</v>
      </c>
      <c r="T97" s="240">
        <v>1</v>
      </c>
      <c r="U97" s="241">
        <v>0</v>
      </c>
      <c r="V97" s="52" t="s">
        <v>461</v>
      </c>
      <c r="W97" s="242">
        <v>-2838818.85</v>
      </c>
      <c r="X97" s="242">
        <v>0</v>
      </c>
      <c r="Y97" s="242">
        <v>-50396.83</v>
      </c>
      <c r="Z97" s="242">
        <f t="shared" si="12"/>
        <v>-2889</v>
      </c>
      <c r="AG97" s="20" t="str">
        <f t="shared" si="7"/>
        <v>21115% RETENCION FONDO DE GARANTIA M.N.</v>
      </c>
      <c r="AH97" s="20" t="str">
        <f>+VLOOKUP(AG97,Catálogo!E:F,2,0)</f>
        <v>Depósitos en garantía recibidos</v>
      </c>
      <c r="AI97" s="20" t="str">
        <f>+VLOOKUP(AG97,Catálogo!E:G,3,0)</f>
        <v>Garantías retenidas a proveedores</v>
      </c>
    </row>
    <row r="98" spans="1:35">
      <c r="A98" s="240">
        <v>218</v>
      </c>
      <c r="B98" s="240">
        <v>0</v>
      </c>
      <c r="C98" s="241">
        <v>0</v>
      </c>
      <c r="D98" s="52" t="s">
        <v>83</v>
      </c>
      <c r="E98" s="242">
        <v>-354716.71</v>
      </c>
      <c r="F98" s="242">
        <v>421727.19</v>
      </c>
      <c r="G98" s="242">
        <v>-527304.9</v>
      </c>
      <c r="H98" s="242">
        <v>-460294.42</v>
      </c>
      <c r="I98"/>
      <c r="J98" s="194">
        <f t="shared" si="8"/>
        <v>-460</v>
      </c>
      <c r="K98" s="201">
        <f t="shared" si="13"/>
        <v>0</v>
      </c>
      <c r="L98" s="201">
        <f t="shared" si="9"/>
        <v>0</v>
      </c>
      <c r="M98" s="202">
        <f t="shared" si="10"/>
        <v>0</v>
      </c>
      <c r="N98" s="180"/>
      <c r="O98" s="202">
        <f t="shared" si="11"/>
        <v>0</v>
      </c>
      <c r="P98" s="203"/>
      <c r="Q98"/>
      <c r="R98"/>
      <c r="S98" s="240">
        <v>218</v>
      </c>
      <c r="T98" s="240">
        <v>0</v>
      </c>
      <c r="U98" s="241">
        <v>0</v>
      </c>
      <c r="V98" s="52" t="s">
        <v>83</v>
      </c>
      <c r="W98" s="242">
        <v>-354716.71</v>
      </c>
      <c r="X98" s="242">
        <v>421727.19</v>
      </c>
      <c r="Y98" s="242">
        <v>-527304.9</v>
      </c>
      <c r="Z98" s="242">
        <f t="shared" si="12"/>
        <v>0</v>
      </c>
      <c r="AG98" s="20" t="str">
        <f t="shared" si="7"/>
        <v>2180IMPUESTOS POR PAGAR</v>
      </c>
      <c r="AH98" s="20" t="e">
        <f>+VLOOKUP(AG98,Catálogo!E:F,2,0)</f>
        <v>#N/A</v>
      </c>
      <c r="AI98" s="20">
        <f>+VLOOKUP(AG98,Catálogo!E:G,3,0)</f>
        <v>0</v>
      </c>
    </row>
    <row r="99" spans="1:35">
      <c r="A99" s="240">
        <v>218</v>
      </c>
      <c r="B99" s="240">
        <v>1</v>
      </c>
      <c r="C99" s="241">
        <v>0</v>
      </c>
      <c r="D99" s="52" t="s">
        <v>27</v>
      </c>
      <c r="E99" s="242">
        <v>-160438.41</v>
      </c>
      <c r="F99" s="242">
        <v>160614.22</v>
      </c>
      <c r="G99" s="242">
        <v>-200441.9</v>
      </c>
      <c r="H99" s="242">
        <v>-200266.09</v>
      </c>
      <c r="I99"/>
      <c r="J99" s="194">
        <f t="shared" si="8"/>
        <v>-200</v>
      </c>
      <c r="K99" s="201">
        <f t="shared" si="13"/>
        <v>0</v>
      </c>
      <c r="L99" s="201">
        <f t="shared" si="9"/>
        <v>0</v>
      </c>
      <c r="M99" s="202">
        <f t="shared" si="10"/>
        <v>0</v>
      </c>
      <c r="N99" s="180"/>
      <c r="O99" s="202">
        <f t="shared" si="11"/>
        <v>0</v>
      </c>
      <c r="P99" s="203"/>
      <c r="Q99"/>
      <c r="R99"/>
      <c r="S99" s="240">
        <v>218</v>
      </c>
      <c r="T99" s="240">
        <v>1</v>
      </c>
      <c r="U99" s="241">
        <v>0</v>
      </c>
      <c r="V99" s="52" t="s">
        <v>27</v>
      </c>
      <c r="W99" s="242">
        <v>-160438.41</v>
      </c>
      <c r="X99" s="242">
        <v>160614.22</v>
      </c>
      <c r="Y99" s="242">
        <v>-200441.9</v>
      </c>
      <c r="Z99" s="242">
        <f t="shared" si="12"/>
        <v>0</v>
      </c>
      <c r="AG99" s="20" t="str">
        <f t="shared" si="7"/>
        <v>2181ISR</v>
      </c>
      <c r="AH99" s="20" t="e">
        <f>+VLOOKUP(AG99,Catálogo!E:F,2,0)</f>
        <v>#N/A</v>
      </c>
      <c r="AI99" s="20">
        <f>+VLOOKUP(AG99,Catálogo!E:G,3,0)</f>
        <v>0</v>
      </c>
    </row>
    <row r="100" spans="1:35">
      <c r="A100" s="240">
        <v>218</v>
      </c>
      <c r="B100" s="240">
        <v>1</v>
      </c>
      <c r="C100" s="241">
        <v>3</v>
      </c>
      <c r="D100" s="52" t="s">
        <v>84</v>
      </c>
      <c r="E100" s="242">
        <v>-121630.39</v>
      </c>
      <c r="F100" s="242">
        <v>121805.22</v>
      </c>
      <c r="G100" s="242">
        <v>-78636.679999999993</v>
      </c>
      <c r="H100" s="242">
        <v>-78461.850000000006</v>
      </c>
      <c r="I100"/>
      <c r="J100" s="194">
        <f t="shared" si="8"/>
        <v>-78</v>
      </c>
      <c r="K100" s="201" t="str">
        <f t="shared" si="13"/>
        <v>Imp</v>
      </c>
      <c r="L100" s="201" t="str">
        <f t="shared" si="9"/>
        <v>ok</v>
      </c>
      <c r="M100" s="202">
        <f t="shared" si="10"/>
        <v>-78</v>
      </c>
      <c r="N100" s="180"/>
      <c r="O100" s="202">
        <f t="shared" si="11"/>
        <v>-78</v>
      </c>
      <c r="P100" s="203"/>
      <c r="Q100"/>
      <c r="R100"/>
      <c r="S100" s="240">
        <v>218</v>
      </c>
      <c r="T100" s="240">
        <v>1</v>
      </c>
      <c r="U100" s="241">
        <v>3</v>
      </c>
      <c r="V100" s="52" t="s">
        <v>84</v>
      </c>
      <c r="W100" s="242">
        <v>-121630.39</v>
      </c>
      <c r="X100" s="242">
        <v>121805.22</v>
      </c>
      <c r="Y100" s="242">
        <v>-78636.679999999993</v>
      </c>
      <c r="Z100" s="242">
        <f t="shared" si="12"/>
        <v>-78</v>
      </c>
      <c r="AG100" s="20" t="str">
        <f t="shared" si="7"/>
        <v>2181ISR RETENCIONES SERVICIOS PROFESIONALES</v>
      </c>
      <c r="AH100" s="20" t="str">
        <f>+VLOOKUP(AG100,Catálogo!E:F,2,0)</f>
        <v>Impuestos por pagar</v>
      </c>
      <c r="AI100" s="20">
        <f>+VLOOKUP(AG100,Catálogo!E:G,3,0)</f>
        <v>0</v>
      </c>
    </row>
    <row r="101" spans="1:35">
      <c r="A101" s="240">
        <v>218</v>
      </c>
      <c r="B101" s="240">
        <v>1</v>
      </c>
      <c r="C101" s="241">
        <v>8</v>
      </c>
      <c r="D101" s="52" t="s">
        <v>85</v>
      </c>
      <c r="E101" s="242">
        <v>-38808.019999999997</v>
      </c>
      <c r="F101" s="242">
        <v>38809</v>
      </c>
      <c r="G101" s="242">
        <v>-121805.22</v>
      </c>
      <c r="H101" s="242">
        <v>-121804.24</v>
      </c>
      <c r="I101"/>
      <c r="J101" s="194">
        <f t="shared" si="8"/>
        <v>-122</v>
      </c>
      <c r="K101" s="201" t="str">
        <f t="shared" si="13"/>
        <v>Imp</v>
      </c>
      <c r="L101" s="201" t="str">
        <f t="shared" si="9"/>
        <v>ok</v>
      </c>
      <c r="M101" s="202">
        <f t="shared" si="10"/>
        <v>-122</v>
      </c>
      <c r="N101" s="180"/>
      <c r="O101" s="202">
        <f t="shared" si="11"/>
        <v>-122</v>
      </c>
      <c r="P101" s="203"/>
      <c r="Q101"/>
      <c r="R101"/>
      <c r="S101" s="240">
        <v>218</v>
      </c>
      <c r="T101" s="240">
        <v>1</v>
      </c>
      <c r="U101" s="241">
        <v>8</v>
      </c>
      <c r="V101" s="52" t="s">
        <v>85</v>
      </c>
      <c r="W101" s="242">
        <v>-38808.019999999997</v>
      </c>
      <c r="X101" s="242">
        <v>38809</v>
      </c>
      <c r="Y101" s="242">
        <v>-121805.22</v>
      </c>
      <c r="Z101" s="242">
        <f t="shared" si="12"/>
        <v>-122</v>
      </c>
      <c r="AG101" s="20" t="str">
        <f t="shared" si="7"/>
        <v>2181ISR RETENCIONES EFECTIVAMENTE PAGADO</v>
      </c>
      <c r="AH101" s="20" t="str">
        <f>+VLOOKUP(AG101,Catálogo!E:F,2,0)</f>
        <v>Impuestos por pagar</v>
      </c>
      <c r="AI101" s="20">
        <f>+VLOOKUP(AG101,Catálogo!E:G,3,0)</f>
        <v>0</v>
      </c>
    </row>
    <row r="102" spans="1:35">
      <c r="A102" s="240">
        <v>218</v>
      </c>
      <c r="B102" s="240">
        <v>2</v>
      </c>
      <c r="C102" s="241">
        <v>0</v>
      </c>
      <c r="D102" s="52" t="s">
        <v>29</v>
      </c>
      <c r="E102" s="242">
        <v>-194278.3</v>
      </c>
      <c r="F102" s="242">
        <v>261112.97</v>
      </c>
      <c r="G102" s="242">
        <v>-326863</v>
      </c>
      <c r="H102" s="242">
        <v>-260028.33</v>
      </c>
      <c r="I102"/>
      <c r="J102" s="194">
        <f t="shared" si="8"/>
        <v>-260</v>
      </c>
      <c r="K102" s="201">
        <f t="shared" si="13"/>
        <v>0</v>
      </c>
      <c r="L102" s="201">
        <f t="shared" si="9"/>
        <v>0</v>
      </c>
      <c r="M102" s="202">
        <f t="shared" si="10"/>
        <v>0</v>
      </c>
      <c r="N102" s="180"/>
      <c r="O102" s="202">
        <f t="shared" si="11"/>
        <v>0</v>
      </c>
      <c r="P102" s="203"/>
      <c r="Q102"/>
      <c r="R102"/>
      <c r="S102" s="240">
        <v>218</v>
      </c>
      <c r="T102" s="240">
        <v>2</v>
      </c>
      <c r="U102" s="241">
        <v>0</v>
      </c>
      <c r="V102" s="52" t="s">
        <v>29</v>
      </c>
      <c r="W102" s="242">
        <v>-194278.3</v>
      </c>
      <c r="X102" s="242">
        <v>261112.97</v>
      </c>
      <c r="Y102" s="242">
        <v>-326863</v>
      </c>
      <c r="Z102" s="242">
        <f t="shared" si="12"/>
        <v>0</v>
      </c>
      <c r="AG102" s="20" t="str">
        <f t="shared" si="7"/>
        <v>2182IVA</v>
      </c>
      <c r="AH102" s="20" t="e">
        <f>+VLOOKUP(AG102,Catálogo!E:F,2,0)</f>
        <v>#N/A</v>
      </c>
      <c r="AI102" s="20">
        <f>+VLOOKUP(AG102,Catálogo!E:G,3,0)</f>
        <v>0</v>
      </c>
    </row>
    <row r="103" spans="1:35">
      <c r="A103" s="240">
        <v>218</v>
      </c>
      <c r="B103" s="240">
        <v>2</v>
      </c>
      <c r="C103" s="241">
        <v>2</v>
      </c>
      <c r="D103" s="52" t="s">
        <v>87</v>
      </c>
      <c r="E103" s="242">
        <v>-109502.77</v>
      </c>
      <c r="F103" s="242">
        <v>176335.97</v>
      </c>
      <c r="G103" s="242">
        <v>-150527.03</v>
      </c>
      <c r="H103" s="242">
        <v>-83693.83</v>
      </c>
      <c r="I103"/>
      <c r="J103" s="194">
        <f t="shared" si="8"/>
        <v>-84</v>
      </c>
      <c r="K103" s="201" t="str">
        <f t="shared" si="13"/>
        <v>Imp</v>
      </c>
      <c r="L103" s="201" t="str">
        <f t="shared" si="9"/>
        <v>ok</v>
      </c>
      <c r="M103" s="202">
        <f t="shared" si="10"/>
        <v>-84</v>
      </c>
      <c r="N103" s="180"/>
      <c r="O103" s="202">
        <f t="shared" si="11"/>
        <v>-84</v>
      </c>
      <c r="P103" s="203"/>
      <c r="Q103"/>
      <c r="R103"/>
      <c r="S103" s="240">
        <v>218</v>
      </c>
      <c r="T103" s="240">
        <v>2</v>
      </c>
      <c r="U103" s="241">
        <v>2</v>
      </c>
      <c r="V103" s="52" t="s">
        <v>87</v>
      </c>
      <c r="W103" s="242">
        <v>-109502.77</v>
      </c>
      <c r="X103" s="242">
        <v>176335.97</v>
      </c>
      <c r="Y103" s="242">
        <v>-150527.03</v>
      </c>
      <c r="Z103" s="242">
        <f t="shared" si="12"/>
        <v>-84</v>
      </c>
      <c r="AG103" s="20" t="str">
        <f t="shared" si="7"/>
        <v>2182IVA RETENIDO SERVICIOS PROFESIONALES</v>
      </c>
      <c r="AH103" s="20" t="str">
        <f>+VLOOKUP(AG103,Catálogo!E:F,2,0)</f>
        <v>Impuestos por pagar</v>
      </c>
      <c r="AI103" s="20">
        <f>+VLOOKUP(AG103,Catálogo!E:G,3,0)</f>
        <v>0</v>
      </c>
    </row>
    <row r="104" spans="1:35">
      <c r="A104" s="240">
        <v>218</v>
      </c>
      <c r="B104" s="240">
        <v>2</v>
      </c>
      <c r="C104" s="241">
        <v>3</v>
      </c>
      <c r="D104" s="52" t="s">
        <v>88</v>
      </c>
      <c r="E104" s="242">
        <v>-84775.53</v>
      </c>
      <c r="F104" s="242">
        <v>84777</v>
      </c>
      <c r="G104" s="242">
        <v>-176335.97</v>
      </c>
      <c r="H104" s="242">
        <v>-176334.5</v>
      </c>
      <c r="I104"/>
      <c r="J104" s="194">
        <f t="shared" si="8"/>
        <v>-176</v>
      </c>
      <c r="K104" s="201" t="str">
        <f t="shared" si="13"/>
        <v>Imp</v>
      </c>
      <c r="L104" s="201" t="str">
        <f t="shared" si="9"/>
        <v>ok</v>
      </c>
      <c r="M104" s="202">
        <f t="shared" si="10"/>
        <v>-176</v>
      </c>
      <c r="N104" s="180"/>
      <c r="O104" s="202">
        <f t="shared" si="11"/>
        <v>-176</v>
      </c>
      <c r="P104" s="203"/>
      <c r="Q104"/>
      <c r="R104"/>
      <c r="S104" s="240">
        <v>218</v>
      </c>
      <c r="T104" s="240">
        <v>2</v>
      </c>
      <c r="U104" s="241">
        <v>3</v>
      </c>
      <c r="V104" s="52" t="s">
        <v>88</v>
      </c>
      <c r="W104" s="242">
        <v>-84775.53</v>
      </c>
      <c r="X104" s="242">
        <v>84777</v>
      </c>
      <c r="Y104" s="242">
        <v>-176335.97</v>
      </c>
      <c r="Z104" s="242">
        <f t="shared" si="12"/>
        <v>-176</v>
      </c>
      <c r="AG104" s="20" t="str">
        <f t="shared" si="7"/>
        <v>2182IVA RETENIDO EFECTIVAMENTE PAGADO</v>
      </c>
      <c r="AH104" s="20" t="str">
        <f>+VLOOKUP(AG104,Catálogo!E:F,2,0)</f>
        <v>Impuestos por pagar</v>
      </c>
      <c r="AI104" s="20">
        <f>+VLOOKUP(AG104,Catálogo!E:G,3,0)</f>
        <v>0</v>
      </c>
    </row>
    <row r="105" spans="1:35">
      <c r="A105" s="240">
        <v>223</v>
      </c>
      <c r="B105" s="240">
        <v>0</v>
      </c>
      <c r="C105" s="241">
        <v>0</v>
      </c>
      <c r="D105" s="52" t="s">
        <v>92</v>
      </c>
      <c r="E105" s="242">
        <v>-460902859.41000003</v>
      </c>
      <c r="F105" s="242">
        <v>5035847.22</v>
      </c>
      <c r="G105" s="242">
        <v>0</v>
      </c>
      <c r="H105" s="242">
        <v>-455867012.19</v>
      </c>
      <c r="I105"/>
      <c r="J105" s="194">
        <f t="shared" si="8"/>
        <v>-455867</v>
      </c>
      <c r="K105" s="201">
        <f t="shared" si="13"/>
        <v>0</v>
      </c>
      <c r="L105" s="201">
        <f t="shared" si="9"/>
        <v>0</v>
      </c>
      <c r="M105" s="202">
        <f t="shared" si="10"/>
        <v>0</v>
      </c>
      <c r="N105" s="180"/>
      <c r="O105" s="202">
        <f t="shared" si="11"/>
        <v>0</v>
      </c>
      <c r="P105" s="203"/>
      <c r="Q105"/>
      <c r="R105"/>
      <c r="S105" s="240">
        <v>223</v>
      </c>
      <c r="T105" s="240">
        <v>0</v>
      </c>
      <c r="U105" s="241">
        <v>0</v>
      </c>
      <c r="V105" s="52" t="s">
        <v>92</v>
      </c>
      <c r="W105" s="242">
        <v>-460902859.41000003</v>
      </c>
      <c r="X105" s="242">
        <v>5035847.22</v>
      </c>
      <c r="Y105" s="242">
        <v>0</v>
      </c>
      <c r="Z105" s="242">
        <f t="shared" si="12"/>
        <v>0</v>
      </c>
      <c r="AG105" s="20" t="str">
        <f t="shared" si="7"/>
        <v>2230DOCUMENTOS POR PAGAR L.P.</v>
      </c>
      <c r="AH105" s="20" t="e">
        <f>+VLOOKUP(AG105,Catálogo!E:F,2,0)</f>
        <v>#N/A</v>
      </c>
      <c r="AI105" s="20">
        <f>+VLOOKUP(AG105,Catálogo!E:G,3,0)</f>
        <v>0</v>
      </c>
    </row>
    <row r="106" spans="1:35">
      <c r="A106" s="240">
        <v>223</v>
      </c>
      <c r="B106" s="240">
        <v>1</v>
      </c>
      <c r="C106" s="241">
        <v>0</v>
      </c>
      <c r="D106" s="52" t="s">
        <v>9</v>
      </c>
      <c r="E106" s="242">
        <v>-460902859.41000003</v>
      </c>
      <c r="F106" s="242">
        <v>5035847.22</v>
      </c>
      <c r="G106" s="242">
        <v>0</v>
      </c>
      <c r="H106" s="242">
        <v>-455867012.19</v>
      </c>
      <c r="I106"/>
      <c r="J106" s="194">
        <f t="shared" si="8"/>
        <v>-455867</v>
      </c>
      <c r="K106" s="201">
        <f t="shared" si="13"/>
        <v>0</v>
      </c>
      <c r="L106" s="201">
        <f t="shared" si="9"/>
        <v>0</v>
      </c>
      <c r="M106" s="202">
        <f t="shared" si="10"/>
        <v>0</v>
      </c>
      <c r="N106" s="180"/>
      <c r="O106" s="202">
        <f t="shared" si="11"/>
        <v>0</v>
      </c>
      <c r="P106" s="203"/>
      <c r="Q106"/>
      <c r="R106"/>
      <c r="S106" s="240">
        <v>223</v>
      </c>
      <c r="T106" s="240">
        <v>1</v>
      </c>
      <c r="U106" s="241">
        <v>0</v>
      </c>
      <c r="V106" s="52" t="s">
        <v>9</v>
      </c>
      <c r="W106" s="242">
        <v>-460902859.41000003</v>
      </c>
      <c r="X106" s="242">
        <v>5035847.22</v>
      </c>
      <c r="Y106" s="242">
        <v>0</v>
      </c>
      <c r="Z106" s="242">
        <f t="shared" si="12"/>
        <v>0</v>
      </c>
      <c r="AG106" s="20" t="str">
        <f t="shared" si="7"/>
        <v>2231MONEDA NACIONAL</v>
      </c>
      <c r="AH106" s="20" t="e">
        <f>+VLOOKUP(AG106,Catálogo!E:F,2,0)</f>
        <v>#N/A</v>
      </c>
      <c r="AI106" s="20">
        <f>+VLOOKUP(AG106,Catálogo!E:G,3,0)</f>
        <v>0</v>
      </c>
    </row>
    <row r="107" spans="1:35">
      <c r="A107" s="240">
        <v>223</v>
      </c>
      <c r="B107" s="240">
        <v>1</v>
      </c>
      <c r="C107" s="241">
        <v>1</v>
      </c>
      <c r="D107" s="52" t="s">
        <v>93</v>
      </c>
      <c r="E107" s="242">
        <v>-130902859.41</v>
      </c>
      <c r="F107" s="242">
        <v>5035847.22</v>
      </c>
      <c r="G107" s="242">
        <v>0</v>
      </c>
      <c r="H107" s="242">
        <v>-125867012.19</v>
      </c>
      <c r="I107"/>
      <c r="J107" s="194">
        <f t="shared" si="8"/>
        <v>-125867</v>
      </c>
      <c r="K107" s="201" t="str">
        <f t="shared" si="13"/>
        <v>Otr</v>
      </c>
      <c r="L107" s="201" t="str">
        <f t="shared" si="9"/>
        <v>ok</v>
      </c>
      <c r="M107" s="202">
        <f t="shared" si="10"/>
        <v>-125867</v>
      </c>
      <c r="N107" s="180"/>
      <c r="O107" s="202">
        <f t="shared" si="11"/>
        <v>-125867</v>
      </c>
      <c r="P107" s="203"/>
      <c r="Q107"/>
      <c r="R107"/>
      <c r="S107" s="240">
        <v>223</v>
      </c>
      <c r="T107" s="240">
        <v>1</v>
      </c>
      <c r="U107" s="241">
        <v>1</v>
      </c>
      <c r="V107" s="52" t="s">
        <v>93</v>
      </c>
      <c r="W107" s="242">
        <v>-130902859.41</v>
      </c>
      <c r="X107" s="242">
        <v>5035847.22</v>
      </c>
      <c r="Y107" s="242">
        <v>0</v>
      </c>
      <c r="Z107" s="242">
        <f t="shared" si="12"/>
        <v>-125867</v>
      </c>
      <c r="AG107" s="20" t="str">
        <f t="shared" si="7"/>
        <v>2231FIDEICOMISO IRREVOCABLE NUMERO 3518</v>
      </c>
      <c r="AH107" s="20" t="str">
        <f>+VLOOKUP(AG107,Catálogo!E:F,2,0)</f>
        <v>Otras aportaciones del fideicomitente</v>
      </c>
      <c r="AI107" s="20" t="str">
        <f>+VLOOKUP(AG107,Catálogo!E:G,3,0)</f>
        <v>Otras aportaciones del fideicomitente</v>
      </c>
    </row>
    <row r="108" spans="1:35">
      <c r="A108" s="240">
        <v>223</v>
      </c>
      <c r="B108" s="240">
        <v>1</v>
      </c>
      <c r="C108" s="241">
        <v>2</v>
      </c>
      <c r="D108" s="52" t="s">
        <v>94</v>
      </c>
      <c r="E108" s="242">
        <v>-330000000</v>
      </c>
      <c r="F108" s="242">
        <v>0</v>
      </c>
      <c r="G108" s="242">
        <v>0</v>
      </c>
      <c r="H108" s="242">
        <v>-330000000</v>
      </c>
      <c r="I108"/>
      <c r="J108" s="194">
        <f t="shared" si="8"/>
        <v>-330000</v>
      </c>
      <c r="K108" s="201" t="str">
        <f t="shared" si="13"/>
        <v>Pré</v>
      </c>
      <c r="L108" s="201" t="str">
        <f t="shared" si="9"/>
        <v>ok</v>
      </c>
      <c r="M108" s="202">
        <f t="shared" si="10"/>
        <v>-330000</v>
      </c>
      <c r="N108" s="180"/>
      <c r="O108" s="202">
        <f t="shared" si="11"/>
        <v>-330000</v>
      </c>
      <c r="P108" s="203"/>
      <c r="Q108"/>
      <c r="R108"/>
      <c r="S108" s="240">
        <v>223</v>
      </c>
      <c r="T108" s="240">
        <v>1</v>
      </c>
      <c r="U108" s="241">
        <v>2</v>
      </c>
      <c r="V108" s="52" t="s">
        <v>94</v>
      </c>
      <c r="W108" s="242">
        <v>-330000000</v>
      </c>
      <c r="X108" s="242">
        <v>0</v>
      </c>
      <c r="Y108" s="242">
        <v>0</v>
      </c>
      <c r="Z108" s="242">
        <f t="shared" si="12"/>
        <v>-330000</v>
      </c>
      <c r="AG108" s="20" t="str">
        <f t="shared" si="7"/>
        <v>2231NXX CAPITAL MEZZI, SAPI DE CV SOFOM EN R</v>
      </c>
      <c r="AH108" s="20" t="str">
        <f>+VLOOKUP(AG108,Catálogo!E:F,2,0)</f>
        <v xml:space="preserve">Préstamos a largo plazo  </v>
      </c>
      <c r="AI108" s="20" t="str">
        <f>+VLOOKUP(AG108,Catálogo!E:G,3,0)</f>
        <v>Principal del crédito</v>
      </c>
    </row>
    <row r="109" spans="1:35">
      <c r="A109" s="240">
        <v>224</v>
      </c>
      <c r="B109" s="240">
        <v>0</v>
      </c>
      <c r="C109" s="241">
        <v>0</v>
      </c>
      <c r="D109" s="52" t="s">
        <v>75</v>
      </c>
      <c r="E109" s="242">
        <v>-386855022.45999998</v>
      </c>
      <c r="F109" s="242">
        <v>636000</v>
      </c>
      <c r="G109" s="242">
        <v>-18842250.280000001</v>
      </c>
      <c r="H109" s="242">
        <v>-405061272.74000001</v>
      </c>
      <c r="I109"/>
      <c r="J109" s="194">
        <f t="shared" si="8"/>
        <v>-405061</v>
      </c>
      <c r="K109" s="201">
        <f t="shared" si="13"/>
        <v>0</v>
      </c>
      <c r="L109" s="201">
        <f t="shared" si="9"/>
        <v>0</v>
      </c>
      <c r="M109" s="202">
        <f t="shared" si="10"/>
        <v>0</v>
      </c>
      <c r="N109" s="180"/>
      <c r="O109" s="202">
        <f t="shared" si="11"/>
        <v>0</v>
      </c>
      <c r="P109" s="203"/>
      <c r="Q109"/>
      <c r="R109"/>
      <c r="S109" s="240">
        <v>224</v>
      </c>
      <c r="T109" s="240">
        <v>0</v>
      </c>
      <c r="U109" s="241">
        <v>0</v>
      </c>
      <c r="V109" s="52" t="s">
        <v>75</v>
      </c>
      <c r="W109" s="242">
        <v>-386855022.45999998</v>
      </c>
      <c r="X109" s="242">
        <v>636000</v>
      </c>
      <c r="Y109" s="242">
        <v>-18842250.280000001</v>
      </c>
      <c r="Z109" s="242">
        <f t="shared" si="12"/>
        <v>0</v>
      </c>
      <c r="AG109" s="20" t="str">
        <f t="shared" si="7"/>
        <v>2240DEPOSITOS EN GARANTIA</v>
      </c>
      <c r="AH109" s="20" t="e">
        <f>+VLOOKUP(AG109,Catálogo!E:F,2,0)</f>
        <v>#N/A</v>
      </c>
      <c r="AI109" s="20">
        <f>+VLOOKUP(AG109,Catálogo!E:G,3,0)</f>
        <v>0</v>
      </c>
    </row>
    <row r="110" spans="1:35">
      <c r="A110" s="240">
        <v>224</v>
      </c>
      <c r="B110" s="240">
        <v>1</v>
      </c>
      <c r="C110" s="241">
        <v>0</v>
      </c>
      <c r="D110" s="52" t="s">
        <v>76</v>
      </c>
      <c r="E110" s="242">
        <v>-386855022.45999998</v>
      </c>
      <c r="F110" s="242">
        <v>636000</v>
      </c>
      <c r="G110" s="242">
        <v>-18842250.280000001</v>
      </c>
      <c r="H110" s="242">
        <v>-405061272.74000001</v>
      </c>
      <c r="I110"/>
      <c r="J110" s="194">
        <f t="shared" si="8"/>
        <v>-405061</v>
      </c>
      <c r="K110" s="201" t="str">
        <f t="shared" si="13"/>
        <v>Dep</v>
      </c>
      <c r="L110" s="201" t="str">
        <f t="shared" si="9"/>
        <v>ok</v>
      </c>
      <c r="M110" s="202">
        <f t="shared" si="10"/>
        <v>-405061</v>
      </c>
      <c r="N110" s="180"/>
      <c r="O110" s="202">
        <f t="shared" si="11"/>
        <v>-405061</v>
      </c>
      <c r="P110" s="203"/>
      <c r="Q110"/>
      <c r="R110"/>
      <c r="S110" s="240">
        <v>224</v>
      </c>
      <c r="T110" s="240">
        <v>1</v>
      </c>
      <c r="U110" s="241">
        <v>0</v>
      </c>
      <c r="V110" s="52" t="s">
        <v>76</v>
      </c>
      <c r="W110" s="242">
        <v>-386855022.45999998</v>
      </c>
      <c r="X110" s="242">
        <v>636000</v>
      </c>
      <c r="Y110" s="242">
        <v>-18842250.280000001</v>
      </c>
      <c r="Z110" s="242">
        <f t="shared" si="12"/>
        <v>-405061</v>
      </c>
      <c r="AG110" s="20" t="str">
        <f t="shared" si="7"/>
        <v>2241DEPOSITOS EN GARANTIA M.N.</v>
      </c>
      <c r="AH110" s="20" t="str">
        <f>+VLOOKUP(AG110,Catálogo!E:F,2,0)</f>
        <v>Depósitos en garantía recibidos</v>
      </c>
      <c r="AI110" s="20" t="str">
        <f>+VLOOKUP(AG110,Catálogo!E:G,3,0)</f>
        <v>Depósitos en garantía MN</v>
      </c>
    </row>
    <row r="111" spans="1:35">
      <c r="A111" s="240">
        <v>301</v>
      </c>
      <c r="B111" s="240">
        <v>0</v>
      </c>
      <c r="C111" s="241">
        <v>0</v>
      </c>
      <c r="D111" s="52" t="s">
        <v>95</v>
      </c>
      <c r="E111" s="242">
        <v>-272971688.89999998</v>
      </c>
      <c r="F111" s="242">
        <v>0</v>
      </c>
      <c r="G111" s="242">
        <v>0</v>
      </c>
      <c r="H111" s="242">
        <v>-272971688.89999998</v>
      </c>
      <c r="I111"/>
      <c r="J111" s="194">
        <f t="shared" si="8"/>
        <v>-272972</v>
      </c>
      <c r="K111" s="201">
        <f t="shared" si="13"/>
        <v>0</v>
      </c>
      <c r="L111" s="201">
        <f>+IFERROR(ABS(K111),"ok")</f>
        <v>0</v>
      </c>
      <c r="M111" s="202">
        <f>+IF(L111="ok",J111,0)</f>
        <v>0</v>
      </c>
      <c r="N111" s="180"/>
      <c r="O111" s="202">
        <f t="shared" si="11"/>
        <v>0</v>
      </c>
      <c r="P111" s="203"/>
      <c r="Q111"/>
      <c r="R111"/>
      <c r="S111" s="240">
        <v>301</v>
      </c>
      <c r="T111" s="240">
        <v>0</v>
      </c>
      <c r="U111" s="241">
        <v>0</v>
      </c>
      <c r="V111" s="52" t="s">
        <v>95</v>
      </c>
      <c r="W111" s="242">
        <v>-272971688.89999998</v>
      </c>
      <c r="X111" s="242">
        <v>0</v>
      </c>
      <c r="Y111" s="242">
        <v>0</v>
      </c>
      <c r="Z111" s="242">
        <f t="shared" si="12"/>
        <v>0</v>
      </c>
      <c r="AG111" s="20" t="str">
        <f t="shared" si="7"/>
        <v>3010PATRIMONIO</v>
      </c>
      <c r="AH111" s="20" t="e">
        <f>+VLOOKUP(AG111,Catálogo!E:F,2,0)</f>
        <v>#N/A</v>
      </c>
      <c r="AI111" s="20">
        <f>+VLOOKUP(AG111,Catálogo!E:G,3,0)</f>
        <v>0</v>
      </c>
    </row>
    <row r="112" spans="1:35">
      <c r="A112" s="240">
        <v>301</v>
      </c>
      <c r="B112" s="240">
        <v>1</v>
      </c>
      <c r="C112" s="241">
        <v>0</v>
      </c>
      <c r="D112" s="52" t="s">
        <v>95</v>
      </c>
      <c r="E112" s="242">
        <v>-272971688.89999998</v>
      </c>
      <c r="F112" s="242">
        <v>0</v>
      </c>
      <c r="G112" s="242">
        <v>0</v>
      </c>
      <c r="H112" s="242">
        <v>-272971688.89999998</v>
      </c>
      <c r="I112"/>
      <c r="J112" s="194">
        <f t="shared" si="8"/>
        <v>-272972</v>
      </c>
      <c r="K112" s="201">
        <f t="shared" si="13"/>
        <v>0</v>
      </c>
      <c r="L112" s="201">
        <f t="shared" si="9"/>
        <v>0</v>
      </c>
      <c r="M112" s="202">
        <f>+IF(L112="ok",J112,0)</f>
        <v>0</v>
      </c>
      <c r="N112" s="180"/>
      <c r="O112" s="202">
        <f t="shared" si="11"/>
        <v>0</v>
      </c>
      <c r="P112" s="203"/>
      <c r="Q112"/>
      <c r="R112"/>
      <c r="S112" s="240">
        <v>301</v>
      </c>
      <c r="T112" s="240">
        <v>1</v>
      </c>
      <c r="U112" s="241">
        <v>0</v>
      </c>
      <c r="V112" s="52" t="s">
        <v>95</v>
      </c>
      <c r="W112" s="242">
        <v>-272971688.89999998</v>
      </c>
      <c r="X112" s="242">
        <v>0</v>
      </c>
      <c r="Y112" s="242">
        <v>0</v>
      </c>
      <c r="Z112" s="242">
        <f t="shared" si="12"/>
        <v>0</v>
      </c>
      <c r="AG112" s="20" t="str">
        <f t="shared" si="7"/>
        <v>3011PATRIMONIO</v>
      </c>
      <c r="AH112" s="20" t="e">
        <f>+VLOOKUP(AG112,Catálogo!E:F,2,0)</f>
        <v>#N/A</v>
      </c>
      <c r="AI112" s="20">
        <f>+VLOOKUP(AG112,Catálogo!E:G,3,0)</f>
        <v>0</v>
      </c>
    </row>
    <row r="113" spans="1:35">
      <c r="A113" s="240">
        <v>301</v>
      </c>
      <c r="B113" s="240">
        <v>1</v>
      </c>
      <c r="C113" s="241">
        <v>1</v>
      </c>
      <c r="D113" s="52" t="s">
        <v>93</v>
      </c>
      <c r="E113" s="242">
        <v>-272971688.89999998</v>
      </c>
      <c r="F113" s="242">
        <v>0</v>
      </c>
      <c r="G113" s="242">
        <v>0</v>
      </c>
      <c r="H113" s="242">
        <v>-272971688.89999998</v>
      </c>
      <c r="I113"/>
      <c r="J113" s="194">
        <f t="shared" si="8"/>
        <v>-272972</v>
      </c>
      <c r="K113" s="201" t="str">
        <f t="shared" si="13"/>
        <v>Apo</v>
      </c>
      <c r="L113" s="201" t="str">
        <f t="shared" si="9"/>
        <v>ok</v>
      </c>
      <c r="M113" s="202">
        <f t="shared" si="10"/>
        <v>-272972</v>
      </c>
      <c r="N113" s="180"/>
      <c r="O113" s="202">
        <f t="shared" si="11"/>
        <v>-272972</v>
      </c>
      <c r="P113" s="203"/>
      <c r="Q113"/>
      <c r="R113"/>
      <c r="S113" s="240">
        <v>301</v>
      </c>
      <c r="T113" s="240">
        <v>1</v>
      </c>
      <c r="U113" s="241">
        <v>1</v>
      </c>
      <c r="V113" s="52" t="s">
        <v>93</v>
      </c>
      <c r="W113" s="242">
        <v>-272971688.89999998</v>
      </c>
      <c r="X113" s="242">
        <v>0</v>
      </c>
      <c r="Y113" s="242">
        <v>0</v>
      </c>
      <c r="Z113" s="242">
        <f t="shared" si="12"/>
        <v>-272972</v>
      </c>
      <c r="AG113" s="20" t="str">
        <f t="shared" si="7"/>
        <v>3011FIDEICOMISO IRREVOCABLE NUMERO 3518</v>
      </c>
      <c r="AH113" s="20" t="str">
        <f>+VLOOKUP(AG113,Catálogo!E:F,2,0)</f>
        <v>Aportaciones</v>
      </c>
      <c r="AI113" s="20" t="str">
        <f>+VLOOKUP(AG113,Catálogo!E:G,3,0)</f>
        <v>Fideicomiso Fortem CKD 18</v>
      </c>
    </row>
    <row r="114" spans="1:35">
      <c r="A114" s="240">
        <v>304</v>
      </c>
      <c r="B114" s="240">
        <v>0</v>
      </c>
      <c r="C114" s="241">
        <v>0</v>
      </c>
      <c r="D114" s="52" t="s">
        <v>462</v>
      </c>
      <c r="E114" s="242">
        <v>-7848629.29</v>
      </c>
      <c r="F114" s="242">
        <v>0</v>
      </c>
      <c r="G114" s="242">
        <v>0</v>
      </c>
      <c r="H114" s="242">
        <v>-7848629.29</v>
      </c>
      <c r="I114"/>
      <c r="J114" s="194">
        <f t="shared" si="8"/>
        <v>-7849</v>
      </c>
      <c r="K114" s="201" t="str">
        <f t="shared" si="13"/>
        <v>0</v>
      </c>
      <c r="L114" s="201">
        <f t="shared" si="9"/>
        <v>0</v>
      </c>
      <c r="M114" s="202">
        <f t="shared" si="10"/>
        <v>0</v>
      </c>
      <c r="N114" s="180"/>
      <c r="O114" s="202">
        <f t="shared" si="11"/>
        <v>0</v>
      </c>
      <c r="P114" s="203"/>
      <c r="Q114"/>
      <c r="R114"/>
      <c r="S114" s="240">
        <v>304</v>
      </c>
      <c r="T114" s="240">
        <v>0</v>
      </c>
      <c r="U114" s="241">
        <v>0</v>
      </c>
      <c r="V114" s="52" t="s">
        <v>462</v>
      </c>
      <c r="W114" s="242">
        <v>-7848629.29</v>
      </c>
      <c r="X114" s="242">
        <v>0</v>
      </c>
      <c r="Y114" s="242">
        <v>0</v>
      </c>
      <c r="Z114" s="242">
        <f t="shared" si="12"/>
        <v>0</v>
      </c>
      <c r="AG114" s="20" t="str">
        <f t="shared" si="7"/>
        <v>3040UTILIDAD DEL EJERCICIO</v>
      </c>
      <c r="AH114" s="20">
        <f>+VLOOKUP(AG114,Catálogo!E:F,2,0)</f>
        <v>0</v>
      </c>
      <c r="AI114" s="20">
        <f>+VLOOKUP(AG114,Catálogo!E:G,3,0)</f>
        <v>0</v>
      </c>
    </row>
    <row r="115" spans="1:35">
      <c r="A115" s="240">
        <v>304</v>
      </c>
      <c r="B115" s="240">
        <v>2</v>
      </c>
      <c r="C115" s="241">
        <v>0</v>
      </c>
      <c r="D115" s="52" t="s">
        <v>463</v>
      </c>
      <c r="E115" s="242">
        <v>-7848629.29</v>
      </c>
      <c r="F115" s="242">
        <v>0</v>
      </c>
      <c r="G115" s="242">
        <v>0</v>
      </c>
      <c r="H115" s="242">
        <v>-7848629.29</v>
      </c>
      <c r="I115"/>
      <c r="J115" s="194">
        <f t="shared" si="8"/>
        <v>-7849</v>
      </c>
      <c r="K115" s="201" t="str">
        <f t="shared" si="13"/>
        <v>Res</v>
      </c>
      <c r="L115" s="201" t="str">
        <f t="shared" si="9"/>
        <v>ok</v>
      </c>
      <c r="M115" s="202">
        <f t="shared" si="10"/>
        <v>-7849</v>
      </c>
      <c r="N115" s="180"/>
      <c r="O115" s="202">
        <f t="shared" si="11"/>
        <v>-7849</v>
      </c>
      <c r="P115" s="203"/>
      <c r="Q115"/>
      <c r="R115"/>
      <c r="S115" s="240">
        <v>304</v>
      </c>
      <c r="T115" s="240">
        <v>2</v>
      </c>
      <c r="U115" s="241">
        <v>0</v>
      </c>
      <c r="V115" s="52" t="s">
        <v>463</v>
      </c>
      <c r="W115" s="242">
        <v>-7848629.29</v>
      </c>
      <c r="X115" s="242">
        <v>0</v>
      </c>
      <c r="Y115" s="242">
        <v>0</v>
      </c>
      <c r="Z115" s="242">
        <f t="shared" si="12"/>
        <v>-7849</v>
      </c>
      <c r="AG115" s="20" t="str">
        <f t="shared" si="7"/>
        <v>3042EJERCICIO 2023</v>
      </c>
      <c r="AH115" s="20" t="str">
        <f>+VLOOKUP(AG115,Catálogo!E:F,2,0)</f>
        <v>Resultados acumulados</v>
      </c>
      <c r="AI115" s="20">
        <f>+VLOOKUP(AG115,Catálogo!E:G,3,0)</f>
        <v>0</v>
      </c>
    </row>
    <row r="116" spans="1:35">
      <c r="A116" s="240">
        <v>305</v>
      </c>
      <c r="B116" s="240">
        <v>0</v>
      </c>
      <c r="C116" s="241">
        <v>0</v>
      </c>
      <c r="D116" s="52" t="s">
        <v>97</v>
      </c>
      <c r="E116" s="242">
        <v>-311979.25</v>
      </c>
      <c r="F116" s="242">
        <v>0</v>
      </c>
      <c r="G116" s="242">
        <v>0</v>
      </c>
      <c r="H116" s="242">
        <v>-311979.25</v>
      </c>
      <c r="I116"/>
      <c r="J116" s="194">
        <f t="shared" si="8"/>
        <v>-312</v>
      </c>
      <c r="K116" s="201">
        <f t="shared" si="13"/>
        <v>0</v>
      </c>
      <c r="L116" s="201">
        <f t="shared" si="9"/>
        <v>0</v>
      </c>
      <c r="M116" s="202">
        <f t="shared" si="10"/>
        <v>0</v>
      </c>
      <c r="N116" s="180"/>
      <c r="O116" s="202">
        <f t="shared" si="11"/>
        <v>0</v>
      </c>
      <c r="P116" s="203"/>
      <c r="Q116"/>
      <c r="R116"/>
      <c r="S116" s="240">
        <v>305</v>
      </c>
      <c r="T116" s="240">
        <v>0</v>
      </c>
      <c r="U116" s="241">
        <v>0</v>
      </c>
      <c r="V116" s="52" t="s">
        <v>97</v>
      </c>
      <c r="W116" s="242">
        <v>-311979.25</v>
      </c>
      <c r="X116" s="242">
        <v>0</v>
      </c>
      <c r="Y116" s="242">
        <v>0</v>
      </c>
      <c r="Z116" s="242">
        <f t="shared" si="12"/>
        <v>0</v>
      </c>
      <c r="AG116" s="20" t="str">
        <f t="shared" si="7"/>
        <v>3050UTILIDADES ACUMULADAS</v>
      </c>
      <c r="AH116" s="20" t="e">
        <f>+VLOOKUP(AG116,Catálogo!E:F,2,0)</f>
        <v>#N/A</v>
      </c>
      <c r="AI116" s="20">
        <f>+VLOOKUP(AG116,Catálogo!E:G,3,0)</f>
        <v>0</v>
      </c>
    </row>
    <row r="117" spans="1:35">
      <c r="A117" s="240">
        <v>305</v>
      </c>
      <c r="B117" s="240">
        <v>1</v>
      </c>
      <c r="C117" s="241">
        <v>0</v>
      </c>
      <c r="D117" s="52" t="s">
        <v>98</v>
      </c>
      <c r="E117" s="242">
        <v>-311979.25</v>
      </c>
      <c r="F117" s="242">
        <v>0</v>
      </c>
      <c r="G117" s="242">
        <v>0</v>
      </c>
      <c r="H117" s="242">
        <v>-311979.25</v>
      </c>
      <c r="I117"/>
      <c r="J117" s="194">
        <f t="shared" si="8"/>
        <v>-312</v>
      </c>
      <c r="K117" s="201" t="str">
        <f t="shared" si="13"/>
        <v>Res</v>
      </c>
      <c r="L117" s="201" t="str">
        <f t="shared" si="9"/>
        <v>ok</v>
      </c>
      <c r="M117" s="202">
        <f t="shared" si="10"/>
        <v>-312</v>
      </c>
      <c r="N117" s="180"/>
      <c r="O117" s="202">
        <f t="shared" si="11"/>
        <v>-312</v>
      </c>
      <c r="P117" s="203"/>
      <c r="Q117"/>
      <c r="R117"/>
      <c r="S117" s="240">
        <v>305</v>
      </c>
      <c r="T117" s="240">
        <v>1</v>
      </c>
      <c r="U117" s="241">
        <v>0</v>
      </c>
      <c r="V117" s="52" t="s">
        <v>98</v>
      </c>
      <c r="W117" s="242">
        <v>-311979.25</v>
      </c>
      <c r="X117" s="242">
        <v>0</v>
      </c>
      <c r="Y117" s="242">
        <v>0</v>
      </c>
      <c r="Z117" s="242">
        <f t="shared" si="12"/>
        <v>-312</v>
      </c>
      <c r="AG117" s="20" t="str">
        <f t="shared" si="7"/>
        <v>3051EJERCICIO 2020</v>
      </c>
      <c r="AH117" s="20" t="str">
        <f>+VLOOKUP(AG117,Catálogo!E:F,2,0)</f>
        <v>Resultados acumulados</v>
      </c>
      <c r="AI117" s="20">
        <f>+VLOOKUP(AG117,Catálogo!E:G,3,0)</f>
        <v>0</v>
      </c>
    </row>
    <row r="118" spans="1:35">
      <c r="A118" s="240">
        <v>307</v>
      </c>
      <c r="B118" s="240">
        <v>0</v>
      </c>
      <c r="C118" s="241">
        <v>0</v>
      </c>
      <c r="D118" s="52" t="s">
        <v>99</v>
      </c>
      <c r="E118" s="242">
        <v>705484.7</v>
      </c>
      <c r="F118" s="242">
        <v>0</v>
      </c>
      <c r="G118" s="242">
        <v>0</v>
      </c>
      <c r="H118" s="242">
        <v>705484.7</v>
      </c>
      <c r="I118"/>
      <c r="J118" s="194">
        <f t="shared" si="8"/>
        <v>705</v>
      </c>
      <c r="K118" s="201">
        <f t="shared" si="13"/>
        <v>0</v>
      </c>
      <c r="L118" s="201">
        <f t="shared" si="9"/>
        <v>0</v>
      </c>
      <c r="M118" s="202">
        <f t="shared" si="10"/>
        <v>0</v>
      </c>
      <c r="N118" s="180"/>
      <c r="O118" s="202">
        <f t="shared" si="11"/>
        <v>0</v>
      </c>
      <c r="P118" s="203"/>
      <c r="Q118"/>
      <c r="R118"/>
      <c r="S118" s="240">
        <v>307</v>
      </c>
      <c r="T118" s="240">
        <v>0</v>
      </c>
      <c r="U118" s="241">
        <v>0</v>
      </c>
      <c r="V118" s="52" t="s">
        <v>99</v>
      </c>
      <c r="W118" s="242">
        <v>705484.7</v>
      </c>
      <c r="X118" s="242">
        <v>0</v>
      </c>
      <c r="Y118" s="242">
        <v>0</v>
      </c>
      <c r="Z118" s="242">
        <f t="shared" si="12"/>
        <v>0</v>
      </c>
      <c r="AG118" s="20" t="str">
        <f t="shared" si="7"/>
        <v>3070PERDIDAS ACUMULADAS</v>
      </c>
      <c r="AH118" s="20" t="e">
        <f>+VLOOKUP(AG118,Catálogo!E:F,2,0)</f>
        <v>#N/A</v>
      </c>
      <c r="AI118" s="20">
        <f>+VLOOKUP(AG118,Catálogo!E:G,3,0)</f>
        <v>0</v>
      </c>
    </row>
    <row r="119" spans="1:35">
      <c r="A119" s="240">
        <v>307</v>
      </c>
      <c r="B119" s="240">
        <v>1</v>
      </c>
      <c r="C119" s="241">
        <v>0</v>
      </c>
      <c r="D119" s="52" t="s">
        <v>100</v>
      </c>
      <c r="E119" s="242">
        <v>279505.99</v>
      </c>
      <c r="F119" s="242">
        <v>0</v>
      </c>
      <c r="G119" s="242">
        <v>0</v>
      </c>
      <c r="H119" s="242">
        <v>279505.99</v>
      </c>
      <c r="I119" s="204"/>
      <c r="J119" s="194">
        <f t="shared" si="8"/>
        <v>280</v>
      </c>
      <c r="K119" s="201" t="str">
        <f t="shared" si="13"/>
        <v>Res</v>
      </c>
      <c r="L119" s="201" t="str">
        <f t="shared" si="9"/>
        <v>ok</v>
      </c>
      <c r="M119" s="202">
        <f t="shared" si="10"/>
        <v>280</v>
      </c>
      <c r="N119" s="180">
        <v>-1</v>
      </c>
      <c r="O119" s="202">
        <f t="shared" si="11"/>
        <v>279</v>
      </c>
      <c r="P119" s="203"/>
      <c r="Q119"/>
      <c r="R119"/>
      <c r="S119" s="240">
        <v>307</v>
      </c>
      <c r="T119" s="240">
        <v>1</v>
      </c>
      <c r="U119" s="241">
        <v>0</v>
      </c>
      <c r="V119" s="52" t="s">
        <v>100</v>
      </c>
      <c r="W119" s="242">
        <v>279505.99</v>
      </c>
      <c r="X119" s="242">
        <v>0</v>
      </c>
      <c r="Y119" s="242">
        <v>0</v>
      </c>
      <c r="Z119" s="242">
        <f t="shared" si="12"/>
        <v>279</v>
      </c>
      <c r="AG119" s="20" t="str">
        <f t="shared" si="7"/>
        <v>3071EJERCICIO 2019</v>
      </c>
      <c r="AH119" s="20" t="str">
        <f>+VLOOKUP(AG119,Catálogo!E:F,2,0)</f>
        <v>Resultados acumulados</v>
      </c>
      <c r="AI119" s="20">
        <f>+VLOOKUP(AG119,Catálogo!E:G,3,0)</f>
        <v>0</v>
      </c>
    </row>
    <row r="120" spans="1:35">
      <c r="A120" s="240">
        <v>307</v>
      </c>
      <c r="B120" s="240">
        <v>2</v>
      </c>
      <c r="C120" s="241">
        <v>0</v>
      </c>
      <c r="D120" s="52" t="s">
        <v>101</v>
      </c>
      <c r="E120" s="242">
        <v>133570.67000000001</v>
      </c>
      <c r="F120" s="242">
        <v>0</v>
      </c>
      <c r="G120" s="242">
        <v>0</v>
      </c>
      <c r="H120" s="242">
        <v>133570.67000000001</v>
      </c>
      <c r="I120"/>
      <c r="J120" s="194">
        <f t="shared" si="8"/>
        <v>134</v>
      </c>
      <c r="K120" s="201" t="str">
        <f t="shared" si="13"/>
        <v>Res</v>
      </c>
      <c r="L120" s="201" t="str">
        <f t="shared" si="9"/>
        <v>ok</v>
      </c>
      <c r="M120" s="202">
        <f t="shared" si="10"/>
        <v>134</v>
      </c>
      <c r="N120" s="180"/>
      <c r="O120" s="202">
        <f t="shared" si="11"/>
        <v>134</v>
      </c>
      <c r="P120" s="203"/>
      <c r="Q120"/>
      <c r="R120"/>
      <c r="S120" s="240">
        <v>307</v>
      </c>
      <c r="T120" s="240">
        <v>2</v>
      </c>
      <c r="U120" s="241">
        <v>0</v>
      </c>
      <c r="V120" s="52" t="s">
        <v>101</v>
      </c>
      <c r="W120" s="242">
        <v>133570.67000000001</v>
      </c>
      <c r="X120" s="242">
        <v>0</v>
      </c>
      <c r="Y120" s="242">
        <v>0</v>
      </c>
      <c r="Z120" s="242">
        <f t="shared" si="12"/>
        <v>134</v>
      </c>
      <c r="AG120" s="20" t="str">
        <f t="shared" si="7"/>
        <v>3072EJERCICIO 2021</v>
      </c>
      <c r="AH120" s="20" t="str">
        <f>+VLOOKUP(AG120,Catálogo!E:F,2,0)</f>
        <v>Resultados acumulados</v>
      </c>
      <c r="AI120" s="20">
        <f>+VLOOKUP(AG120,Catálogo!E:G,3,0)</f>
        <v>0</v>
      </c>
    </row>
    <row r="121" spans="1:35">
      <c r="A121" s="240">
        <v>307</v>
      </c>
      <c r="B121" s="240">
        <v>3</v>
      </c>
      <c r="C121" s="241">
        <v>0</v>
      </c>
      <c r="D121" s="52" t="s">
        <v>102</v>
      </c>
      <c r="E121" s="242">
        <v>292408.03999999998</v>
      </c>
      <c r="F121" s="242">
        <v>0</v>
      </c>
      <c r="G121" s="242">
        <v>0</v>
      </c>
      <c r="H121" s="242">
        <v>292408.03999999998</v>
      </c>
      <c r="I121" s="204"/>
      <c r="J121" s="194">
        <f t="shared" si="8"/>
        <v>292</v>
      </c>
      <c r="K121" s="201" t="str">
        <f t="shared" si="13"/>
        <v>Res</v>
      </c>
      <c r="L121" s="201" t="str">
        <f t="shared" si="9"/>
        <v>ok</v>
      </c>
      <c r="M121" s="202">
        <f t="shared" si="10"/>
        <v>292</v>
      </c>
      <c r="N121" s="180"/>
      <c r="O121" s="202">
        <f t="shared" si="11"/>
        <v>292</v>
      </c>
      <c r="P121" s="203"/>
      <c r="Q121"/>
      <c r="R121"/>
      <c r="S121" s="240">
        <v>307</v>
      </c>
      <c r="T121" s="240">
        <v>3</v>
      </c>
      <c r="U121" s="241">
        <v>0</v>
      </c>
      <c r="V121" s="52" t="s">
        <v>102</v>
      </c>
      <c r="W121" s="242">
        <v>292408.03999999998</v>
      </c>
      <c r="X121" s="242">
        <v>0</v>
      </c>
      <c r="Y121" s="242">
        <v>0</v>
      </c>
      <c r="Z121" s="242">
        <f t="shared" si="12"/>
        <v>292</v>
      </c>
      <c r="AG121" s="20" t="str">
        <f t="shared" si="7"/>
        <v>3073EJERCICIO 2022</v>
      </c>
      <c r="AH121" s="20" t="str">
        <f>+VLOOKUP(AG121,Catálogo!E:F,2,0)</f>
        <v>Resultados acumulados</v>
      </c>
      <c r="AI121" s="20">
        <f>+VLOOKUP(AG121,Catálogo!E:G,3,0)</f>
        <v>0</v>
      </c>
    </row>
    <row r="122" spans="1:35">
      <c r="A122" s="240">
        <v>601</v>
      </c>
      <c r="B122" s="240">
        <v>0</v>
      </c>
      <c r="C122" s="241">
        <v>0</v>
      </c>
      <c r="D122" s="52" t="s">
        <v>104</v>
      </c>
      <c r="E122" s="242">
        <v>75950.929999999993</v>
      </c>
      <c r="F122" s="242">
        <v>36416275.939999998</v>
      </c>
      <c r="G122" s="242">
        <v>0</v>
      </c>
      <c r="H122" s="242">
        <v>36492226.869999997</v>
      </c>
      <c r="I122"/>
      <c r="J122" s="194">
        <f t="shared" si="8"/>
        <v>36492</v>
      </c>
      <c r="K122" s="201">
        <f t="shared" si="13"/>
        <v>0</v>
      </c>
      <c r="L122" s="201">
        <f t="shared" si="9"/>
        <v>0</v>
      </c>
      <c r="M122" s="202">
        <f t="shared" si="10"/>
        <v>0</v>
      </c>
      <c r="N122" s="180"/>
      <c r="O122" s="202">
        <f t="shared" si="11"/>
        <v>0</v>
      </c>
      <c r="P122" s="203"/>
      <c r="Q122"/>
      <c r="R122"/>
      <c r="S122" s="240">
        <v>601</v>
      </c>
      <c r="T122" s="240">
        <v>0</v>
      </c>
      <c r="U122" s="241">
        <v>0</v>
      </c>
      <c r="V122" s="52" t="s">
        <v>104</v>
      </c>
      <c r="W122" s="242">
        <v>75950.929999999993</v>
      </c>
      <c r="X122" s="242">
        <v>36416275.939999998</v>
      </c>
      <c r="Y122" s="242">
        <v>0</v>
      </c>
      <c r="Z122" s="242">
        <f t="shared" si="12"/>
        <v>0</v>
      </c>
      <c r="AG122" s="20" t="str">
        <f t="shared" si="7"/>
        <v>6010GASTOS DE ADMINISTRACIÓN</v>
      </c>
      <c r="AH122" s="20" t="e">
        <f>+VLOOKUP(AG122,Catálogo!E:F,2,0)</f>
        <v>#N/A</v>
      </c>
      <c r="AI122" s="20">
        <f>+VLOOKUP(AG122,Catálogo!E:G,3,0)</f>
        <v>0</v>
      </c>
    </row>
    <row r="123" spans="1:35">
      <c r="A123" s="240">
        <v>601</v>
      </c>
      <c r="B123" s="240">
        <v>2</v>
      </c>
      <c r="C123" s="241">
        <v>0</v>
      </c>
      <c r="D123" s="52" t="s">
        <v>51</v>
      </c>
      <c r="E123" s="242">
        <v>0</v>
      </c>
      <c r="F123" s="242">
        <v>31066488.600000001</v>
      </c>
      <c r="G123" s="242">
        <v>0</v>
      </c>
      <c r="H123" s="242">
        <v>31066488.600000001</v>
      </c>
      <c r="I123"/>
      <c r="J123" s="194">
        <f t="shared" si="8"/>
        <v>31066</v>
      </c>
      <c r="K123" s="201" t="str">
        <f t="shared" si="13"/>
        <v>Gas</v>
      </c>
      <c r="L123" s="201" t="str">
        <f t="shared" si="9"/>
        <v>ok</v>
      </c>
      <c r="M123" s="202">
        <f t="shared" si="10"/>
        <v>31066</v>
      </c>
      <c r="N123" s="180"/>
      <c r="O123" s="202">
        <f t="shared" si="11"/>
        <v>31066</v>
      </c>
      <c r="P123" s="203"/>
      <c r="Q123"/>
      <c r="R123"/>
      <c r="S123" s="240">
        <v>601</v>
      </c>
      <c r="T123" s="240">
        <v>2</v>
      </c>
      <c r="U123" s="241">
        <v>0</v>
      </c>
      <c r="V123" s="52" t="s">
        <v>51</v>
      </c>
      <c r="W123" s="242">
        <v>0</v>
      </c>
      <c r="X123" s="242">
        <v>31066488.600000001</v>
      </c>
      <c r="Y123" s="242">
        <v>0</v>
      </c>
      <c r="Z123" s="242">
        <f t="shared" si="12"/>
        <v>31066</v>
      </c>
      <c r="AG123" s="20" t="str">
        <f t="shared" si="7"/>
        <v>6012HONORARIOS PERSONAS MORALES</v>
      </c>
      <c r="AH123" s="20" t="str">
        <f>+VLOOKUP(AG123,Catálogo!E:F,2,0)</f>
        <v>Gastos operativos</v>
      </c>
      <c r="AI123" s="20">
        <f>+VLOOKUP(AG123,Catálogo!E:G,3,0)</f>
        <v>0</v>
      </c>
    </row>
    <row r="124" spans="1:35">
      <c r="A124" s="240">
        <v>601</v>
      </c>
      <c r="B124" s="240">
        <v>6</v>
      </c>
      <c r="C124" s="241">
        <v>0</v>
      </c>
      <c r="D124" s="52" t="s">
        <v>533</v>
      </c>
      <c r="E124" s="242">
        <v>0</v>
      </c>
      <c r="F124" s="242">
        <v>2345866.4500000002</v>
      </c>
      <c r="G124" s="242">
        <v>0</v>
      </c>
      <c r="H124" s="242">
        <v>2345866.4500000002</v>
      </c>
      <c r="I124"/>
      <c r="J124" s="194">
        <f t="shared" si="8"/>
        <v>2346</v>
      </c>
      <c r="K124" s="201" t="str">
        <f t="shared" si="13"/>
        <v>Gas</v>
      </c>
      <c r="L124" s="201" t="str">
        <f t="shared" si="9"/>
        <v>ok</v>
      </c>
      <c r="M124" s="202">
        <f t="shared" si="10"/>
        <v>2346</v>
      </c>
      <c r="N124" s="180"/>
      <c r="O124" s="202">
        <f t="shared" si="11"/>
        <v>2346</v>
      </c>
      <c r="P124" s="203"/>
      <c r="Q124"/>
      <c r="R124"/>
      <c r="S124" s="240">
        <v>601</v>
      </c>
      <c r="T124" s="240">
        <v>6</v>
      </c>
      <c r="U124" s="241">
        <v>0</v>
      </c>
      <c r="V124" s="52" t="s">
        <v>533</v>
      </c>
      <c r="W124" s="242">
        <v>0</v>
      </c>
      <c r="X124" s="242">
        <v>2345866.4500000002</v>
      </c>
      <c r="Y124" s="242">
        <v>0</v>
      </c>
      <c r="Z124" s="242">
        <f t="shared" si="12"/>
        <v>2346</v>
      </c>
      <c r="AG124" s="20" t="str">
        <f t="shared" si="7"/>
        <v xml:space="preserve">6016HONORARIOS PERSONAS FISICAS </v>
      </c>
      <c r="AH124" s="20" t="str">
        <f>+VLOOKUP(AG124,Catálogo!E:F,2,0)</f>
        <v>Gastos operativos</v>
      </c>
      <c r="AI124" s="20">
        <f>+VLOOKUP(AG124,Catálogo!E:G,3,0)</f>
        <v>0</v>
      </c>
    </row>
    <row r="125" spans="1:35">
      <c r="A125" s="240">
        <v>601</v>
      </c>
      <c r="B125" s="240">
        <v>7</v>
      </c>
      <c r="C125" s="241">
        <v>0</v>
      </c>
      <c r="D125" s="52" t="s">
        <v>534</v>
      </c>
      <c r="E125" s="242">
        <v>0</v>
      </c>
      <c r="F125" s="242">
        <v>2107565.27</v>
      </c>
      <c r="G125" s="242">
        <v>0</v>
      </c>
      <c r="H125" s="242">
        <v>2107565.27</v>
      </c>
      <c r="I125"/>
      <c r="J125" s="194">
        <f t="shared" si="8"/>
        <v>2108</v>
      </c>
      <c r="K125" s="201" t="str">
        <f t="shared" si="13"/>
        <v>Gas</v>
      </c>
      <c r="L125" s="201" t="str">
        <f t="shared" si="9"/>
        <v>ok</v>
      </c>
      <c r="M125" s="202">
        <f t="shared" si="10"/>
        <v>2108</v>
      </c>
      <c r="N125" s="180"/>
      <c r="O125" s="202">
        <f t="shared" si="11"/>
        <v>2108</v>
      </c>
      <c r="P125" s="203"/>
      <c r="Q125"/>
      <c r="R125"/>
      <c r="S125" s="240">
        <v>601</v>
      </c>
      <c r="T125" s="240">
        <v>7</v>
      </c>
      <c r="U125" s="241">
        <v>0</v>
      </c>
      <c r="V125" s="52" t="s">
        <v>534</v>
      </c>
      <c r="W125" s="242">
        <v>0</v>
      </c>
      <c r="X125" s="242">
        <v>2107565.27</v>
      </c>
      <c r="Y125" s="242">
        <v>0</v>
      </c>
      <c r="Z125" s="242">
        <f t="shared" si="12"/>
        <v>2108</v>
      </c>
      <c r="AG125" s="20" t="str">
        <f t="shared" si="7"/>
        <v>6017GASTOS LEGALES Y NOTARIALES</v>
      </c>
      <c r="AH125" s="20" t="str">
        <f>+VLOOKUP(AG125,Catálogo!E:F,2,0)</f>
        <v>Gastos operativos</v>
      </c>
      <c r="AI125" s="20">
        <f>+VLOOKUP(AG125,Catálogo!E:G,3,0)</f>
        <v>0</v>
      </c>
    </row>
    <row r="126" spans="1:35">
      <c r="A126" s="240">
        <v>601</v>
      </c>
      <c r="B126" s="240">
        <v>17</v>
      </c>
      <c r="C126" s="241">
        <v>0</v>
      </c>
      <c r="D126" s="52" t="s">
        <v>535</v>
      </c>
      <c r="E126" s="242">
        <v>0</v>
      </c>
      <c r="F126" s="242">
        <v>885345.03</v>
      </c>
      <c r="G126" s="242">
        <v>0</v>
      </c>
      <c r="H126" s="242">
        <v>885345.03</v>
      </c>
      <c r="I126"/>
      <c r="J126" s="194">
        <f t="shared" si="8"/>
        <v>885</v>
      </c>
      <c r="K126" s="201" t="str">
        <f t="shared" si="13"/>
        <v>Gas</v>
      </c>
      <c r="L126" s="201" t="str">
        <f t="shared" si="9"/>
        <v>ok</v>
      </c>
      <c r="M126" s="202">
        <f t="shared" si="10"/>
        <v>885</v>
      </c>
      <c r="N126" s="180"/>
      <c r="O126" s="202">
        <f t="shared" si="11"/>
        <v>885</v>
      </c>
      <c r="P126" s="203"/>
      <c r="Q126"/>
      <c r="R126"/>
      <c r="S126" s="240">
        <v>601</v>
      </c>
      <c r="T126" s="240">
        <v>17</v>
      </c>
      <c r="U126" s="241">
        <v>0</v>
      </c>
      <c r="V126" s="52" t="s">
        <v>535</v>
      </c>
      <c r="W126" s="242">
        <v>0</v>
      </c>
      <c r="X126" s="242">
        <v>885345.03</v>
      </c>
      <c r="Y126" s="242">
        <v>0</v>
      </c>
      <c r="Z126" s="242">
        <f t="shared" si="12"/>
        <v>885</v>
      </c>
      <c r="AG126" s="20" t="str">
        <f t="shared" si="7"/>
        <v>60117SEGURIDAD</v>
      </c>
      <c r="AH126" s="20" t="str">
        <f>+VLOOKUP(AG126,Catálogo!E:F,2,0)</f>
        <v>Gastos operativos</v>
      </c>
      <c r="AI126" s="20">
        <f>+VLOOKUP(AG126,Catálogo!E:G,3,0)</f>
        <v>0</v>
      </c>
    </row>
    <row r="127" spans="1:35">
      <c r="A127" s="240">
        <v>601</v>
      </c>
      <c r="B127" s="240">
        <v>101</v>
      </c>
      <c r="C127" s="241">
        <v>0</v>
      </c>
      <c r="D127" s="52" t="s">
        <v>106</v>
      </c>
      <c r="E127" s="242">
        <v>75950.929999999993</v>
      </c>
      <c r="F127" s="242">
        <v>11010.59</v>
      </c>
      <c r="G127" s="242">
        <v>0</v>
      </c>
      <c r="H127" s="242">
        <v>86961.52</v>
      </c>
      <c r="I127"/>
      <c r="J127" s="194">
        <f t="shared" si="8"/>
        <v>87</v>
      </c>
      <c r="K127" s="201">
        <f t="shared" si="13"/>
        <v>0</v>
      </c>
      <c r="L127" s="201">
        <f t="shared" si="9"/>
        <v>0</v>
      </c>
      <c r="M127" s="202">
        <f t="shared" si="10"/>
        <v>0</v>
      </c>
      <c r="N127" s="180"/>
      <c r="O127" s="202">
        <f t="shared" si="11"/>
        <v>0</v>
      </c>
      <c r="P127" s="203"/>
      <c r="Q127"/>
      <c r="R127"/>
      <c r="S127" s="240">
        <v>601</v>
      </c>
      <c r="T127" s="240">
        <v>101</v>
      </c>
      <c r="U127" s="241">
        <v>0</v>
      </c>
      <c r="V127" s="52" t="s">
        <v>106</v>
      </c>
      <c r="W127" s="242">
        <v>75950.929999999993</v>
      </c>
      <c r="X127" s="242">
        <v>11010.59</v>
      </c>
      <c r="Y127" s="242">
        <v>0</v>
      </c>
      <c r="Z127" s="242">
        <f t="shared" si="12"/>
        <v>0</v>
      </c>
      <c r="AG127" s="20" t="str">
        <f t="shared" si="7"/>
        <v>601101DEPRECIACION DEL EJERCICIO</v>
      </c>
      <c r="AH127" s="20" t="e">
        <f>+VLOOKUP(AG127,Catálogo!E:F,2,0)</f>
        <v>#N/A</v>
      </c>
      <c r="AI127" s="20">
        <f>+VLOOKUP(AG127,Catálogo!E:G,3,0)</f>
        <v>0</v>
      </c>
    </row>
    <row r="128" spans="1:35">
      <c r="A128" s="240">
        <v>601</v>
      </c>
      <c r="B128" s="240">
        <v>101</v>
      </c>
      <c r="C128" s="241">
        <v>1</v>
      </c>
      <c r="D128" s="52" t="s">
        <v>455</v>
      </c>
      <c r="E128" s="242">
        <v>1620.72</v>
      </c>
      <c r="F128" s="242">
        <v>405.18</v>
      </c>
      <c r="G128" s="242">
        <v>0</v>
      </c>
      <c r="H128" s="242">
        <v>2025.9</v>
      </c>
      <c r="I128"/>
      <c r="J128" s="194">
        <f t="shared" si="8"/>
        <v>2</v>
      </c>
      <c r="K128" s="201" t="str">
        <f t="shared" si="13"/>
        <v>Gas</v>
      </c>
      <c r="L128" s="201" t="str">
        <f t="shared" si="9"/>
        <v>ok</v>
      </c>
      <c r="M128" s="202">
        <f t="shared" si="10"/>
        <v>2</v>
      </c>
      <c r="N128" s="180"/>
      <c r="O128" s="202">
        <f t="shared" si="11"/>
        <v>2</v>
      </c>
      <c r="P128" s="203"/>
      <c r="Q128"/>
      <c r="R128"/>
      <c r="S128" s="240">
        <v>601</v>
      </c>
      <c r="T128" s="240">
        <v>101</v>
      </c>
      <c r="U128" s="241">
        <v>1</v>
      </c>
      <c r="V128" s="52" t="s">
        <v>455</v>
      </c>
      <c r="W128" s="242">
        <v>1620.72</v>
      </c>
      <c r="X128" s="242">
        <v>405.18</v>
      </c>
      <c r="Y128" s="242">
        <v>0</v>
      </c>
      <c r="Z128" s="242">
        <f t="shared" si="12"/>
        <v>2</v>
      </c>
      <c r="AG128" s="20" t="str">
        <f t="shared" si="7"/>
        <v>601101DEPRECIACION MOB Y EQUIPO DE OFICINA</v>
      </c>
      <c r="AH128" s="20" t="str">
        <f>+VLOOKUP(AG128,Catálogo!E:F,2,0)</f>
        <v>Gastos operativos</v>
      </c>
      <c r="AI128" s="20">
        <f>+VLOOKUP(AG128,Catálogo!E:G,3,0)</f>
        <v>0</v>
      </c>
    </row>
    <row r="129" spans="1:35">
      <c r="A129" s="240">
        <v>601</v>
      </c>
      <c r="B129" s="240">
        <v>101</v>
      </c>
      <c r="C129" s="241">
        <v>2</v>
      </c>
      <c r="D129" s="52" t="s">
        <v>107</v>
      </c>
      <c r="E129" s="242">
        <v>60378.21</v>
      </c>
      <c r="F129" s="242">
        <v>7815.01</v>
      </c>
      <c r="G129" s="242">
        <v>0</v>
      </c>
      <c r="H129" s="242">
        <v>68193.22</v>
      </c>
      <c r="I129"/>
      <c r="J129" s="194">
        <f t="shared" si="8"/>
        <v>68</v>
      </c>
      <c r="K129" s="201" t="str">
        <f t="shared" si="13"/>
        <v>Gas</v>
      </c>
      <c r="L129" s="201" t="str">
        <f t="shared" si="9"/>
        <v>ok</v>
      </c>
      <c r="M129" s="202">
        <f t="shared" si="10"/>
        <v>68</v>
      </c>
      <c r="N129" s="180"/>
      <c r="O129" s="202">
        <f t="shared" si="11"/>
        <v>68</v>
      </c>
      <c r="P129" s="203"/>
      <c r="Q129"/>
      <c r="R129"/>
      <c r="S129" s="240">
        <v>601</v>
      </c>
      <c r="T129" s="240">
        <v>101</v>
      </c>
      <c r="U129" s="241">
        <v>2</v>
      </c>
      <c r="V129" s="52" t="s">
        <v>107</v>
      </c>
      <c r="W129" s="242">
        <v>60378.21</v>
      </c>
      <c r="X129" s="242">
        <v>7815.01</v>
      </c>
      <c r="Y129" s="242">
        <v>0</v>
      </c>
      <c r="Z129" s="242">
        <f t="shared" si="12"/>
        <v>68</v>
      </c>
      <c r="AG129" s="20" t="str">
        <f t="shared" si="7"/>
        <v>601101DEPRECIACION EQUIPO DE COMPUTO</v>
      </c>
      <c r="AH129" s="20" t="str">
        <f>+VLOOKUP(AG129,Catálogo!E:F,2,0)</f>
        <v>Gastos operativos</v>
      </c>
      <c r="AI129" s="20">
        <f>+VLOOKUP(AG129,Catálogo!E:G,3,0)</f>
        <v>0</v>
      </c>
    </row>
    <row r="130" spans="1:35">
      <c r="A130" s="240">
        <v>601</v>
      </c>
      <c r="B130" s="240">
        <v>101</v>
      </c>
      <c r="C130" s="241">
        <v>4</v>
      </c>
      <c r="D130" s="52" t="s">
        <v>459</v>
      </c>
      <c r="E130" s="242">
        <v>13952</v>
      </c>
      <c r="F130" s="242">
        <v>2790.4</v>
      </c>
      <c r="G130" s="242">
        <v>0</v>
      </c>
      <c r="H130" s="242">
        <v>16742.400000000001</v>
      </c>
      <c r="I130"/>
      <c r="J130" s="194">
        <f t="shared" si="8"/>
        <v>17</v>
      </c>
      <c r="K130" s="201" t="str">
        <f t="shared" si="13"/>
        <v>Gas</v>
      </c>
      <c r="L130" s="201" t="str">
        <f t="shared" si="9"/>
        <v>ok</v>
      </c>
      <c r="M130" s="202">
        <f t="shared" si="10"/>
        <v>17</v>
      </c>
      <c r="N130" s="180"/>
      <c r="O130" s="202">
        <f t="shared" si="11"/>
        <v>17</v>
      </c>
      <c r="P130" s="203"/>
      <c r="Q130"/>
      <c r="R130"/>
      <c r="S130" s="240">
        <v>601</v>
      </c>
      <c r="T130" s="240">
        <v>101</v>
      </c>
      <c r="U130" s="241">
        <v>4</v>
      </c>
      <c r="V130" s="52" t="s">
        <v>459</v>
      </c>
      <c r="W130" s="242">
        <v>13952</v>
      </c>
      <c r="X130" s="242">
        <v>2790.4</v>
      </c>
      <c r="Y130" s="242">
        <v>0</v>
      </c>
      <c r="Z130" s="242">
        <f t="shared" si="12"/>
        <v>17</v>
      </c>
      <c r="AG130" s="20" t="str">
        <f t="shared" si="7"/>
        <v>601101DEPRECIACION EQP DE VIDEO VIGILANCIA</v>
      </c>
      <c r="AH130" s="20" t="str">
        <f>+VLOOKUP(AG130,Catálogo!E:F,2,0)</f>
        <v>Gastos operativos</v>
      </c>
      <c r="AI130" s="20">
        <f>+VLOOKUP(AG130,Catálogo!E:G,3,0)</f>
        <v>0</v>
      </c>
    </row>
    <row r="131" spans="1:35">
      <c r="A131" s="240">
        <v>701</v>
      </c>
      <c r="B131" s="240">
        <v>0</v>
      </c>
      <c r="C131" s="241">
        <v>0</v>
      </c>
      <c r="D131" s="52" t="s">
        <v>108</v>
      </c>
      <c r="E131" s="242">
        <v>-7650515.3799999999</v>
      </c>
      <c r="F131" s="242">
        <v>0</v>
      </c>
      <c r="G131" s="242">
        <v>-399782.81</v>
      </c>
      <c r="H131" s="242">
        <v>-8050298.1900000004</v>
      </c>
      <c r="I131"/>
      <c r="J131" s="194">
        <f t="shared" si="8"/>
        <v>-8050</v>
      </c>
      <c r="K131" s="201">
        <f t="shared" si="13"/>
        <v>0</v>
      </c>
      <c r="L131" s="201">
        <f t="shared" si="9"/>
        <v>0</v>
      </c>
      <c r="M131" s="202">
        <f t="shared" si="10"/>
        <v>0</v>
      </c>
      <c r="N131" s="180"/>
      <c r="O131" s="202">
        <f t="shared" si="11"/>
        <v>0</v>
      </c>
      <c r="P131" s="203"/>
      <c r="Q131"/>
      <c r="R131"/>
      <c r="S131" s="240">
        <v>701</v>
      </c>
      <c r="T131" s="240">
        <v>0</v>
      </c>
      <c r="U131" s="241">
        <v>0</v>
      </c>
      <c r="V131" s="52" t="s">
        <v>108</v>
      </c>
      <c r="W131" s="242">
        <v>-7650515.3799999999</v>
      </c>
      <c r="X131" s="242">
        <v>0</v>
      </c>
      <c r="Y131" s="242">
        <v>-399782.81</v>
      </c>
      <c r="Z131" s="242">
        <f t="shared" si="12"/>
        <v>0</v>
      </c>
      <c r="AG131" s="20" t="str">
        <f t="shared" ref="AG131:AG194" si="14">+CONCATENATE(S131,T131,V131)</f>
        <v>7010PRODUCTOS FINANCIEROS</v>
      </c>
      <c r="AH131" s="20" t="e">
        <f>+VLOOKUP(AG131,Catálogo!E:F,2,0)</f>
        <v>#N/A</v>
      </c>
      <c r="AI131" s="20">
        <f>+VLOOKUP(AG131,Catálogo!E:G,3,0)</f>
        <v>0</v>
      </c>
    </row>
    <row r="132" spans="1:35">
      <c r="A132" s="240">
        <v>701</v>
      </c>
      <c r="B132" s="240">
        <v>1</v>
      </c>
      <c r="C132" s="241">
        <v>0</v>
      </c>
      <c r="D132" s="52" t="s">
        <v>109</v>
      </c>
      <c r="E132" s="242">
        <v>-7649791.04</v>
      </c>
      <c r="F132" s="242">
        <v>0</v>
      </c>
      <c r="G132" s="242">
        <v>-399782.81</v>
      </c>
      <c r="H132" s="242">
        <v>-8049573.8499999996</v>
      </c>
      <c r="I132"/>
      <c r="J132" s="194">
        <f t="shared" si="8"/>
        <v>-8050</v>
      </c>
      <c r="K132" s="201" t="str">
        <f t="shared" si="13"/>
        <v>Int</v>
      </c>
      <c r="L132" s="201" t="str">
        <f t="shared" si="9"/>
        <v>ok</v>
      </c>
      <c r="M132" s="202">
        <f t="shared" si="10"/>
        <v>-8050</v>
      </c>
      <c r="N132" s="180"/>
      <c r="O132" s="202">
        <f t="shared" si="11"/>
        <v>-8050</v>
      </c>
      <c r="P132" s="203"/>
      <c r="Q132"/>
      <c r="R132"/>
      <c r="S132" s="240">
        <v>701</v>
      </c>
      <c r="T132" s="240">
        <v>1</v>
      </c>
      <c r="U132" s="241">
        <v>0</v>
      </c>
      <c r="V132" s="52" t="s">
        <v>109</v>
      </c>
      <c r="W132" s="242">
        <v>-7649791.04</v>
      </c>
      <c r="X132" s="242">
        <v>0</v>
      </c>
      <c r="Y132" s="242">
        <v>-399782.81</v>
      </c>
      <c r="Z132" s="242">
        <f t="shared" si="12"/>
        <v>-8050</v>
      </c>
      <c r="AG132" s="20" t="str">
        <f t="shared" si="14"/>
        <v>7011INTERESES GANADOS</v>
      </c>
      <c r="AH132" s="20" t="str">
        <f>+VLOOKUP(AG132,Catálogo!E:F,2,0)</f>
        <v>Intereses a favor</v>
      </c>
      <c r="AI132" s="20">
        <f>+VLOOKUP(AG132,Catálogo!E:G,3,0)</f>
        <v>0</v>
      </c>
    </row>
    <row r="133" spans="1:35">
      <c r="A133" s="240">
        <v>701</v>
      </c>
      <c r="B133" s="240">
        <v>2</v>
      </c>
      <c r="C133" s="241">
        <v>0</v>
      </c>
      <c r="D133" s="52" t="s">
        <v>110</v>
      </c>
      <c r="E133" s="242">
        <v>-724.34</v>
      </c>
      <c r="F133" s="242">
        <v>0</v>
      </c>
      <c r="G133" s="242">
        <v>0</v>
      </c>
      <c r="H133" s="242">
        <v>-724.34</v>
      </c>
      <c r="I133"/>
      <c r="J133" s="194">
        <f t="shared" si="8"/>
        <v>-1</v>
      </c>
      <c r="K133" s="201" t="str">
        <f t="shared" si="13"/>
        <v>Flu</v>
      </c>
      <c r="L133" s="201" t="str">
        <f t="shared" si="9"/>
        <v>ok</v>
      </c>
      <c r="M133" s="202">
        <f t="shared" si="10"/>
        <v>-1</v>
      </c>
      <c r="N133" s="180"/>
      <c r="O133" s="202">
        <f t="shared" si="11"/>
        <v>-1</v>
      </c>
      <c r="P133" s="203"/>
      <c r="Q133"/>
      <c r="R133"/>
      <c r="S133" s="240">
        <v>701</v>
      </c>
      <c r="T133" s="240">
        <v>2</v>
      </c>
      <c r="U133" s="241">
        <v>0</v>
      </c>
      <c r="V133" s="52" t="s">
        <v>110</v>
      </c>
      <c r="W133" s="242">
        <v>-724.34</v>
      </c>
      <c r="X133" s="242">
        <v>0</v>
      </c>
      <c r="Y133" s="242">
        <v>0</v>
      </c>
      <c r="Z133" s="242">
        <f t="shared" si="12"/>
        <v>-1</v>
      </c>
      <c r="AG133" s="20" t="str">
        <f t="shared" si="14"/>
        <v>7012UTILIDAD CAMBIARIA</v>
      </c>
      <c r="AH133" s="20" t="str">
        <f>+VLOOKUP(AG133,Catálogo!E:F,2,0)</f>
        <v>Fluctuación cambiaria</v>
      </c>
      <c r="AI133" s="20">
        <f>+VLOOKUP(AG133,Catálogo!E:G,3,0)</f>
        <v>0</v>
      </c>
    </row>
    <row r="134" spans="1:35">
      <c r="A134" s="240">
        <v>702</v>
      </c>
      <c r="B134" s="240">
        <v>0</v>
      </c>
      <c r="C134" s="241">
        <v>0</v>
      </c>
      <c r="D134" s="52" t="s">
        <v>111</v>
      </c>
      <c r="E134" s="242">
        <v>23164.45</v>
      </c>
      <c r="F134" s="242">
        <v>3337.3</v>
      </c>
      <c r="G134" s="242">
        <v>0</v>
      </c>
      <c r="H134" s="242">
        <v>26501.75</v>
      </c>
      <c r="I134"/>
      <c r="J134" s="194">
        <f t="shared" si="8"/>
        <v>27</v>
      </c>
      <c r="K134" s="201">
        <f t="shared" si="13"/>
        <v>0</v>
      </c>
      <c r="L134" s="201">
        <f t="shared" si="9"/>
        <v>0</v>
      </c>
      <c r="M134" s="202">
        <f t="shared" si="10"/>
        <v>0</v>
      </c>
      <c r="N134" s="180"/>
      <c r="O134" s="202">
        <f t="shared" si="11"/>
        <v>0</v>
      </c>
      <c r="P134" s="203"/>
      <c r="Q134"/>
      <c r="R134"/>
      <c r="S134" s="240">
        <v>702</v>
      </c>
      <c r="T134" s="240">
        <v>0</v>
      </c>
      <c r="U134" s="241">
        <v>0</v>
      </c>
      <c r="V134" s="52" t="s">
        <v>111</v>
      </c>
      <c r="W134" s="242">
        <v>23164.45</v>
      </c>
      <c r="X134" s="242">
        <v>3337.3</v>
      </c>
      <c r="Y134" s="242">
        <v>0</v>
      </c>
      <c r="Z134" s="242">
        <f t="shared" si="12"/>
        <v>0</v>
      </c>
      <c r="AG134" s="20" t="str">
        <f t="shared" si="14"/>
        <v>7020GASTOS FINANCIEROS</v>
      </c>
      <c r="AH134" s="20" t="e">
        <f>+VLOOKUP(AG134,Catálogo!E:F,2,0)</f>
        <v>#N/A</v>
      </c>
      <c r="AI134" s="20">
        <f>+VLOOKUP(AG134,Catálogo!E:G,3,0)</f>
        <v>0</v>
      </c>
    </row>
    <row r="135" spans="1:35">
      <c r="A135" s="240">
        <v>702</v>
      </c>
      <c r="B135" s="240">
        <v>2</v>
      </c>
      <c r="C135" s="241">
        <v>0</v>
      </c>
      <c r="D135" s="52" t="s">
        <v>112</v>
      </c>
      <c r="E135" s="242">
        <v>18978.599999999999</v>
      </c>
      <c r="F135" s="242">
        <v>2352.3000000000002</v>
      </c>
      <c r="G135" s="242">
        <v>0</v>
      </c>
      <c r="H135" s="242">
        <v>21330.9</v>
      </c>
      <c r="I135"/>
      <c r="J135" s="194">
        <f t="shared" si="8"/>
        <v>21</v>
      </c>
      <c r="K135" s="201" t="str">
        <f t="shared" si="13"/>
        <v>Int</v>
      </c>
      <c r="L135" s="201" t="str">
        <f t="shared" si="9"/>
        <v>ok</v>
      </c>
      <c r="M135" s="202">
        <f t="shared" si="10"/>
        <v>21</v>
      </c>
      <c r="N135" s="180"/>
      <c r="O135" s="202">
        <f t="shared" si="11"/>
        <v>21</v>
      </c>
      <c r="P135" s="203"/>
      <c r="Q135"/>
      <c r="R135"/>
      <c r="S135" s="240">
        <v>702</v>
      </c>
      <c r="T135" s="240">
        <v>2</v>
      </c>
      <c r="U135" s="241">
        <v>0</v>
      </c>
      <c r="V135" s="52" t="s">
        <v>112</v>
      </c>
      <c r="W135" s="242">
        <v>18978.599999999999</v>
      </c>
      <c r="X135" s="242">
        <v>2352.3000000000002</v>
      </c>
      <c r="Y135" s="242">
        <v>0</v>
      </c>
      <c r="Z135" s="242">
        <f t="shared" si="12"/>
        <v>21</v>
      </c>
      <c r="AG135" s="20" t="str">
        <f t="shared" si="14"/>
        <v>7022COMISIONES BANCARIAS</v>
      </c>
      <c r="AH135" s="20" t="str">
        <f>+VLOOKUP(AG135,Catálogo!E:F,2,0)</f>
        <v>Intereses a cargo</v>
      </c>
      <c r="AI135" s="20">
        <f>+VLOOKUP(AG135,Catálogo!E:G,3,0)</f>
        <v>0</v>
      </c>
    </row>
    <row r="136" spans="1:35">
      <c r="A136" s="240">
        <v>702</v>
      </c>
      <c r="B136" s="240">
        <v>3</v>
      </c>
      <c r="C136" s="241">
        <v>0</v>
      </c>
      <c r="D136" s="52" t="s">
        <v>113</v>
      </c>
      <c r="E136" s="242">
        <v>4185.8500000000004</v>
      </c>
      <c r="F136" s="242">
        <v>985</v>
      </c>
      <c r="G136" s="242">
        <v>0</v>
      </c>
      <c r="H136" s="242">
        <v>5170.8500000000004</v>
      </c>
      <c r="I136"/>
      <c r="J136" s="194">
        <f t="shared" si="8"/>
        <v>5</v>
      </c>
      <c r="K136" s="201" t="str">
        <f t="shared" si="13"/>
        <v>Flu</v>
      </c>
      <c r="L136" s="201" t="str">
        <f t="shared" si="9"/>
        <v>ok</v>
      </c>
      <c r="M136" s="202">
        <f t="shared" si="10"/>
        <v>5</v>
      </c>
      <c r="N136" s="180"/>
      <c r="O136" s="202">
        <f t="shared" si="11"/>
        <v>5</v>
      </c>
      <c r="P136" s="203"/>
      <c r="Q136"/>
      <c r="R136"/>
      <c r="S136" s="240">
        <v>702</v>
      </c>
      <c r="T136" s="240">
        <v>3</v>
      </c>
      <c r="U136" s="241">
        <v>0</v>
      </c>
      <c r="V136" s="52" t="s">
        <v>113</v>
      </c>
      <c r="W136" s="242">
        <v>4185.8500000000004</v>
      </c>
      <c r="X136" s="242">
        <v>985</v>
      </c>
      <c r="Y136" s="242">
        <v>0</v>
      </c>
      <c r="Z136" s="242">
        <f t="shared" si="12"/>
        <v>5</v>
      </c>
      <c r="AG136" s="20" t="str">
        <f t="shared" si="14"/>
        <v>7023PERDIDA CAMBIARIA</v>
      </c>
      <c r="AH136" s="20" t="str">
        <f>+VLOOKUP(AG136,Catálogo!E:F,2,0)</f>
        <v>Fluctuación cambiaria</v>
      </c>
      <c r="AI136" s="20">
        <f>+VLOOKUP(AG136,Catálogo!E:G,3,0)</f>
        <v>0</v>
      </c>
    </row>
    <row r="137" spans="1:35">
      <c r="A137" s="240">
        <v>751</v>
      </c>
      <c r="B137" s="240">
        <v>0</v>
      </c>
      <c r="C137" s="241">
        <v>0</v>
      </c>
      <c r="D137" s="52" t="s">
        <v>114</v>
      </c>
      <c r="E137" s="242">
        <v>-498.32</v>
      </c>
      <c r="F137" s="242">
        <v>0</v>
      </c>
      <c r="G137" s="242">
        <v>-1.02</v>
      </c>
      <c r="H137" s="242">
        <v>-499.34</v>
      </c>
      <c r="I137"/>
      <c r="J137" s="194">
        <f t="shared" si="8"/>
        <v>0</v>
      </c>
      <c r="K137" s="201">
        <f t="shared" si="13"/>
        <v>0</v>
      </c>
      <c r="L137" s="201">
        <f t="shared" si="9"/>
        <v>0</v>
      </c>
      <c r="M137" s="202">
        <f t="shared" si="10"/>
        <v>0</v>
      </c>
      <c r="N137" s="180"/>
      <c r="O137" s="202">
        <f t="shared" si="11"/>
        <v>0</v>
      </c>
      <c r="P137" s="203"/>
      <c r="Q137"/>
      <c r="R137"/>
      <c r="S137" s="240">
        <v>751</v>
      </c>
      <c r="T137" s="240">
        <v>0</v>
      </c>
      <c r="U137" s="241">
        <v>0</v>
      </c>
      <c r="V137" s="52" t="s">
        <v>114</v>
      </c>
      <c r="W137" s="242">
        <v>-498.32</v>
      </c>
      <c r="X137" s="242">
        <v>0</v>
      </c>
      <c r="Y137" s="242">
        <v>-1.02</v>
      </c>
      <c r="Z137" s="242">
        <f t="shared" si="12"/>
        <v>0</v>
      </c>
      <c r="AG137" s="20" t="str">
        <f t="shared" si="14"/>
        <v>7510OTROS PRODUCTOS</v>
      </c>
      <c r="AH137" s="20" t="e">
        <f>+VLOOKUP(AG137,Catálogo!E:F,2,0)</f>
        <v>#N/A</v>
      </c>
      <c r="AI137" s="20">
        <f>+VLOOKUP(AG137,Catálogo!E:G,3,0)</f>
        <v>0</v>
      </c>
    </row>
    <row r="138" spans="1:35">
      <c r="A138" s="240">
        <v>751</v>
      </c>
      <c r="B138" s="240">
        <v>1</v>
      </c>
      <c r="C138" s="241">
        <v>0</v>
      </c>
      <c r="D138" s="52" t="s">
        <v>293</v>
      </c>
      <c r="E138" s="242">
        <v>-9.5399999999999991</v>
      </c>
      <c r="F138" s="242">
        <v>0</v>
      </c>
      <c r="G138" s="242">
        <v>0</v>
      </c>
      <c r="H138" s="242">
        <v>-9.5399999999999991</v>
      </c>
      <c r="I138"/>
      <c r="J138" s="194">
        <f t="shared" si="8"/>
        <v>0</v>
      </c>
      <c r="K138" s="201" t="str">
        <f t="shared" si="13"/>
        <v>Otr</v>
      </c>
      <c r="L138" s="201" t="str">
        <f t="shared" si="9"/>
        <v>ok</v>
      </c>
      <c r="M138" s="202">
        <f t="shared" si="10"/>
        <v>0</v>
      </c>
      <c r="N138" s="180"/>
      <c r="O138" s="202">
        <f t="shared" si="11"/>
        <v>0</v>
      </c>
      <c r="P138" s="203"/>
      <c r="Q138"/>
      <c r="R138"/>
      <c r="S138" s="240">
        <v>751</v>
      </c>
      <c r="T138" s="240">
        <v>1</v>
      </c>
      <c r="U138" s="241">
        <v>0</v>
      </c>
      <c r="V138" s="52" t="s">
        <v>293</v>
      </c>
      <c r="W138" s="242">
        <v>-9.5399999999999991</v>
      </c>
      <c r="X138" s="242">
        <v>0</v>
      </c>
      <c r="Y138" s="242">
        <v>0</v>
      </c>
      <c r="Z138" s="242">
        <f t="shared" si="12"/>
        <v>0</v>
      </c>
      <c r="AG138" s="20" t="str">
        <f t="shared" si="14"/>
        <v>7511VARIOS</v>
      </c>
      <c r="AH138" s="20" t="str">
        <f>+VLOOKUP(AG138,Catálogo!E:F,2,0)</f>
        <v>Otros ingresos</v>
      </c>
      <c r="AI138" s="20">
        <f>+VLOOKUP(AG138,Catálogo!E:G,3,0)</f>
        <v>0</v>
      </c>
    </row>
    <row r="139" spans="1:35">
      <c r="A139" s="240">
        <v>751</v>
      </c>
      <c r="B139" s="240">
        <v>2</v>
      </c>
      <c r="C139" s="241">
        <v>0</v>
      </c>
      <c r="D139" s="52" t="s">
        <v>115</v>
      </c>
      <c r="E139" s="242">
        <v>-488.78</v>
      </c>
      <c r="F139" s="242">
        <v>0</v>
      </c>
      <c r="G139" s="242">
        <v>-1.02</v>
      </c>
      <c r="H139" s="242">
        <v>-489.8</v>
      </c>
      <c r="I139"/>
      <c r="J139" s="194">
        <f t="shared" si="8"/>
        <v>0</v>
      </c>
      <c r="K139" s="201" t="str">
        <f t="shared" si="13"/>
        <v>Otr</v>
      </c>
      <c r="L139" s="201" t="str">
        <f t="shared" si="9"/>
        <v>ok</v>
      </c>
      <c r="M139" s="202">
        <f t="shared" si="10"/>
        <v>0</v>
      </c>
      <c r="N139" s="180"/>
      <c r="O139" s="202">
        <f t="shared" si="11"/>
        <v>0</v>
      </c>
      <c r="P139" s="203"/>
      <c r="Q139"/>
      <c r="R139"/>
      <c r="S139" s="240">
        <v>751</v>
      </c>
      <c r="T139" s="240">
        <v>2</v>
      </c>
      <c r="U139" s="241">
        <v>0</v>
      </c>
      <c r="V139" s="52" t="s">
        <v>115</v>
      </c>
      <c r="W139" s="242">
        <v>-488.78</v>
      </c>
      <c r="X139" s="242">
        <v>0</v>
      </c>
      <c r="Y139" s="242">
        <v>-1.02</v>
      </c>
      <c r="Z139" s="242">
        <f t="shared" si="12"/>
        <v>0</v>
      </c>
      <c r="AG139" s="20" t="str">
        <f t="shared" si="14"/>
        <v>7512OTROS INGRESOS</v>
      </c>
      <c r="AH139" s="20" t="str">
        <f>+VLOOKUP(AG139,Catálogo!E:F,2,0)</f>
        <v>Otros ingresos</v>
      </c>
      <c r="AI139" s="20">
        <f>+VLOOKUP(AG139,Catálogo!E:G,3,0)</f>
        <v>0</v>
      </c>
    </row>
    <row r="140" spans="1:35">
      <c r="A140" s="240">
        <v>752</v>
      </c>
      <c r="B140" s="240">
        <v>0</v>
      </c>
      <c r="C140" s="241">
        <v>0</v>
      </c>
      <c r="D140" s="52" t="s">
        <v>116</v>
      </c>
      <c r="E140" s="242">
        <v>0.05</v>
      </c>
      <c r="F140" s="242">
        <v>0.01</v>
      </c>
      <c r="G140" s="242">
        <v>0</v>
      </c>
      <c r="H140" s="242">
        <v>0.06</v>
      </c>
      <c r="I140"/>
      <c r="J140" s="194">
        <f t="shared" ref="J140:J203" si="15">+ROUND(H140/1000,0)</f>
        <v>0</v>
      </c>
      <c r="K140" s="201" t="str">
        <f t="shared" si="13"/>
        <v>0</v>
      </c>
      <c r="L140" s="201">
        <f t="shared" ref="L140:L203" si="16">+IFERROR(ABS(K140),"ok")</f>
        <v>0</v>
      </c>
      <c r="M140" s="202">
        <f t="shared" ref="M140:M203" si="17">+IF(L140="ok",J140,0)</f>
        <v>0</v>
      </c>
      <c r="N140" s="180"/>
      <c r="O140" s="202">
        <f t="shared" ref="O140:O203" si="18">+M140+N140</f>
        <v>0</v>
      </c>
      <c r="P140" s="203"/>
      <c r="Q140"/>
      <c r="R140"/>
      <c r="S140" s="240">
        <v>752</v>
      </c>
      <c r="T140" s="240">
        <v>0</v>
      </c>
      <c r="U140" s="241">
        <v>0</v>
      </c>
      <c r="V140" s="52" t="s">
        <v>116</v>
      </c>
      <c r="W140" s="242">
        <v>0.05</v>
      </c>
      <c r="X140" s="242">
        <v>0.01</v>
      </c>
      <c r="Y140" s="242">
        <v>0</v>
      </c>
      <c r="Z140" s="242">
        <f t="shared" ref="Z140:Z141" si="19">+O140</f>
        <v>0</v>
      </c>
      <c r="AG140" s="20" t="str">
        <f t="shared" si="14"/>
        <v>7520OTROS GASTOS</v>
      </c>
      <c r="AH140" s="20">
        <f>+VLOOKUP(AG140,Catálogo!E:F,2,0)</f>
        <v>0</v>
      </c>
      <c r="AI140" s="20">
        <f>+VLOOKUP(AG140,Catálogo!E:G,3,0)</f>
        <v>0</v>
      </c>
    </row>
    <row r="141" spans="1:35">
      <c r="A141" s="240">
        <v>752</v>
      </c>
      <c r="B141" s="240">
        <v>1</v>
      </c>
      <c r="C141" s="241">
        <v>0</v>
      </c>
      <c r="D141" s="52" t="s">
        <v>293</v>
      </c>
      <c r="E141" s="242">
        <v>0.05</v>
      </c>
      <c r="F141" s="242">
        <v>0.01</v>
      </c>
      <c r="G141" s="242">
        <v>0</v>
      </c>
      <c r="H141" s="242">
        <v>0.06</v>
      </c>
      <c r="I141"/>
      <c r="J141" s="194">
        <f t="shared" si="15"/>
        <v>0</v>
      </c>
      <c r="K141" s="201" t="str">
        <f t="shared" ref="K141:K204" si="20">+IFERROR(LEFT(AH141,3),0)</f>
        <v>Otr</v>
      </c>
      <c r="L141" s="201" t="str">
        <f t="shared" si="16"/>
        <v>ok</v>
      </c>
      <c r="M141" s="202">
        <f t="shared" si="17"/>
        <v>0</v>
      </c>
      <c r="N141" s="180"/>
      <c r="O141" s="202">
        <f t="shared" si="18"/>
        <v>0</v>
      </c>
      <c r="P141" s="203"/>
      <c r="Q141"/>
      <c r="R141"/>
      <c r="S141" s="240">
        <v>752</v>
      </c>
      <c r="T141" s="240">
        <v>1</v>
      </c>
      <c r="U141" s="241">
        <v>0</v>
      </c>
      <c r="V141" s="52" t="s">
        <v>293</v>
      </c>
      <c r="W141" s="242">
        <v>0.05</v>
      </c>
      <c r="X141" s="242">
        <v>0.01</v>
      </c>
      <c r="Y141" s="242">
        <v>0</v>
      </c>
      <c r="Z141" s="242">
        <f t="shared" si="19"/>
        <v>0</v>
      </c>
      <c r="AG141" s="20" t="str">
        <f t="shared" si="14"/>
        <v>7521VARIOS</v>
      </c>
      <c r="AH141" s="20" t="str">
        <f>+VLOOKUP(AG141,Catálogo!E:F,2,0)</f>
        <v>Otros ingresos</v>
      </c>
      <c r="AI141" s="20">
        <f>+VLOOKUP(AG141,Catálogo!E:G,3,0)</f>
        <v>0</v>
      </c>
    </row>
    <row r="142" spans="1:35">
      <c r="I142"/>
      <c r="J142" s="194">
        <f t="shared" si="15"/>
        <v>0</v>
      </c>
      <c r="K142" s="201">
        <f t="shared" si="20"/>
        <v>0</v>
      </c>
      <c r="L142" s="201">
        <f t="shared" si="16"/>
        <v>0</v>
      </c>
      <c r="M142" s="202">
        <f t="shared" si="17"/>
        <v>0</v>
      </c>
      <c r="N142" s="180"/>
      <c r="O142" s="202">
        <f t="shared" si="18"/>
        <v>0</v>
      </c>
      <c r="P142" s="203"/>
      <c r="Q142"/>
      <c r="R142"/>
      <c r="AG142" s="20" t="str">
        <f t="shared" si="14"/>
        <v/>
      </c>
      <c r="AH142" s="20" t="e">
        <f>+VLOOKUP(AG142,Catálogo!E:F,2,0)</f>
        <v>#N/A</v>
      </c>
      <c r="AI142" s="20" t="e">
        <f>+VLOOKUP(AG142,Catálogo!E:G,3,0)</f>
        <v>#N/A</v>
      </c>
    </row>
    <row r="143" spans="1:35">
      <c r="I143"/>
      <c r="J143" s="194">
        <f t="shared" si="15"/>
        <v>0</v>
      </c>
      <c r="K143" s="201">
        <f t="shared" si="20"/>
        <v>0</v>
      </c>
      <c r="L143" s="201">
        <f t="shared" si="16"/>
        <v>0</v>
      </c>
      <c r="M143" s="202">
        <f t="shared" si="17"/>
        <v>0</v>
      </c>
      <c r="N143" s="180"/>
      <c r="O143" s="202">
        <f t="shared" si="18"/>
        <v>0</v>
      </c>
      <c r="P143" s="203"/>
      <c r="Q143"/>
      <c r="R143"/>
      <c r="AG143" s="20" t="str">
        <f t="shared" si="14"/>
        <v/>
      </c>
      <c r="AH143" s="20" t="e">
        <f>+VLOOKUP(AG143,Catálogo!E:F,2,0)</f>
        <v>#N/A</v>
      </c>
      <c r="AI143" s="20" t="e">
        <f>+VLOOKUP(AG143,Catálogo!E:G,3,0)</f>
        <v>#N/A</v>
      </c>
    </row>
    <row r="144" spans="1:35">
      <c r="I144"/>
      <c r="J144" s="194">
        <f t="shared" si="15"/>
        <v>0</v>
      </c>
      <c r="K144" s="201">
        <f t="shared" si="20"/>
        <v>0</v>
      </c>
      <c r="L144" s="201">
        <f t="shared" si="16"/>
        <v>0</v>
      </c>
      <c r="M144" s="202">
        <f t="shared" si="17"/>
        <v>0</v>
      </c>
      <c r="N144" s="180"/>
      <c r="O144" s="202">
        <f t="shared" si="18"/>
        <v>0</v>
      </c>
      <c r="P144" s="203"/>
      <c r="Q144"/>
      <c r="R144"/>
      <c r="AG144" s="20" t="str">
        <f t="shared" si="14"/>
        <v/>
      </c>
      <c r="AH144" s="20" t="e">
        <f>+VLOOKUP(AG144,Catálogo!E:F,2,0)</f>
        <v>#N/A</v>
      </c>
      <c r="AI144" s="20" t="e">
        <f>+VLOOKUP(AG144,Catálogo!E:G,3,0)</f>
        <v>#N/A</v>
      </c>
    </row>
    <row r="145" spans="9:35">
      <c r="I145" s="13"/>
      <c r="J145" s="194">
        <f t="shared" si="15"/>
        <v>0</v>
      </c>
      <c r="K145" s="201">
        <f t="shared" si="20"/>
        <v>0</v>
      </c>
      <c r="L145" s="201">
        <f t="shared" si="16"/>
        <v>0</v>
      </c>
      <c r="M145" s="202">
        <f t="shared" si="17"/>
        <v>0</v>
      </c>
      <c r="N145" s="180"/>
      <c r="O145" s="202">
        <f t="shared" si="18"/>
        <v>0</v>
      </c>
      <c r="P145" s="203"/>
      <c r="Q145"/>
      <c r="R145"/>
      <c r="AG145" s="20" t="str">
        <f t="shared" si="14"/>
        <v/>
      </c>
      <c r="AH145" s="20" t="e">
        <f>+VLOOKUP(AG145,Catálogo!E:F,2,0)</f>
        <v>#N/A</v>
      </c>
      <c r="AI145" s="20" t="e">
        <f>+VLOOKUP(AG145,Catálogo!E:G,3,0)</f>
        <v>#N/A</v>
      </c>
    </row>
    <row r="146" spans="9:35">
      <c r="I146" s="205"/>
      <c r="J146" s="194">
        <f t="shared" si="15"/>
        <v>0</v>
      </c>
      <c r="K146" s="201">
        <f t="shared" si="20"/>
        <v>0</v>
      </c>
      <c r="L146" s="201">
        <f t="shared" si="16"/>
        <v>0</v>
      </c>
      <c r="M146" s="202">
        <f t="shared" si="17"/>
        <v>0</v>
      </c>
      <c r="N146" s="180"/>
      <c r="O146" s="202">
        <f t="shared" si="18"/>
        <v>0</v>
      </c>
      <c r="P146" s="203"/>
      <c r="Q146"/>
      <c r="R146"/>
      <c r="AG146" s="20" t="str">
        <f t="shared" si="14"/>
        <v/>
      </c>
      <c r="AH146" s="20" t="e">
        <f>+VLOOKUP(AG146,Catálogo!E:F,2,0)</f>
        <v>#N/A</v>
      </c>
      <c r="AI146" s="20" t="e">
        <f>+VLOOKUP(AG146,Catálogo!E:G,3,0)</f>
        <v>#N/A</v>
      </c>
    </row>
    <row r="147" spans="9:35">
      <c r="I147" s="13"/>
      <c r="J147" s="194">
        <f t="shared" si="15"/>
        <v>0</v>
      </c>
      <c r="K147" s="201">
        <f t="shared" si="20"/>
        <v>0</v>
      </c>
      <c r="L147" s="201">
        <f t="shared" si="16"/>
        <v>0</v>
      </c>
      <c r="M147" s="202">
        <f t="shared" si="17"/>
        <v>0</v>
      </c>
      <c r="N147" s="180"/>
      <c r="O147" s="202">
        <f t="shared" si="18"/>
        <v>0</v>
      </c>
      <c r="P147" s="203"/>
      <c r="Q147"/>
      <c r="R147"/>
      <c r="AG147" s="20" t="str">
        <f t="shared" si="14"/>
        <v/>
      </c>
      <c r="AH147" s="20" t="e">
        <f>+VLOOKUP(AG147,Catálogo!E:F,2,0)</f>
        <v>#N/A</v>
      </c>
      <c r="AI147" s="20" t="e">
        <f>+VLOOKUP(AG147,Catálogo!E:G,3,0)</f>
        <v>#N/A</v>
      </c>
    </row>
    <row r="148" spans="9:35">
      <c r="I148" s="205"/>
      <c r="J148" s="194">
        <f t="shared" si="15"/>
        <v>0</v>
      </c>
      <c r="K148" s="201">
        <f t="shared" si="20"/>
        <v>0</v>
      </c>
      <c r="L148" s="201">
        <f t="shared" si="16"/>
        <v>0</v>
      </c>
      <c r="M148" s="202">
        <f t="shared" si="17"/>
        <v>0</v>
      </c>
      <c r="N148" s="180"/>
      <c r="O148" s="202">
        <f t="shared" si="18"/>
        <v>0</v>
      </c>
      <c r="P148" s="203"/>
      <c r="Q148"/>
      <c r="R148"/>
      <c r="AG148" s="20" t="str">
        <f t="shared" si="14"/>
        <v/>
      </c>
      <c r="AH148" s="20" t="e">
        <f>+VLOOKUP(AG148,Catálogo!E:F,2,0)</f>
        <v>#N/A</v>
      </c>
      <c r="AI148" s="20" t="e">
        <f>+VLOOKUP(AG148,Catálogo!E:G,3,0)</f>
        <v>#N/A</v>
      </c>
    </row>
    <row r="149" spans="9:35">
      <c r="I149" s="13"/>
      <c r="J149" s="194">
        <f t="shared" si="15"/>
        <v>0</v>
      </c>
      <c r="K149" s="201">
        <f t="shared" si="20"/>
        <v>0</v>
      </c>
      <c r="L149" s="201">
        <f t="shared" si="16"/>
        <v>0</v>
      </c>
      <c r="M149" s="202">
        <f t="shared" si="17"/>
        <v>0</v>
      </c>
      <c r="N149" s="180"/>
      <c r="O149" s="202">
        <f t="shared" si="18"/>
        <v>0</v>
      </c>
      <c r="P149" s="203"/>
      <c r="Q149"/>
      <c r="R149"/>
      <c r="AG149" s="20" t="str">
        <f t="shared" si="14"/>
        <v/>
      </c>
      <c r="AH149" s="20" t="e">
        <f>+VLOOKUP(AG149,Catálogo!E:F,2,0)</f>
        <v>#N/A</v>
      </c>
      <c r="AI149" s="20" t="e">
        <f>+VLOOKUP(AG149,Catálogo!E:G,3,0)</f>
        <v>#N/A</v>
      </c>
    </row>
    <row r="150" spans="9:35">
      <c r="I150" s="13"/>
      <c r="J150" s="194">
        <f t="shared" si="15"/>
        <v>0</v>
      </c>
      <c r="K150" s="201">
        <f t="shared" si="20"/>
        <v>0</v>
      </c>
      <c r="L150" s="201">
        <f t="shared" si="16"/>
        <v>0</v>
      </c>
      <c r="M150" s="202">
        <f t="shared" si="17"/>
        <v>0</v>
      </c>
      <c r="N150" s="180"/>
      <c r="O150" s="202">
        <f t="shared" si="18"/>
        <v>0</v>
      </c>
      <c r="P150" s="203"/>
      <c r="Q150"/>
      <c r="R150"/>
      <c r="AG150" s="20" t="str">
        <f t="shared" si="14"/>
        <v/>
      </c>
      <c r="AH150" s="20" t="e">
        <f>+VLOOKUP(AG150,Catálogo!E:F,2,0)</f>
        <v>#N/A</v>
      </c>
      <c r="AI150" s="20" t="e">
        <f>+VLOOKUP(AG150,Catálogo!E:G,3,0)</f>
        <v>#N/A</v>
      </c>
    </row>
    <row r="151" spans="9:35">
      <c r="I151" s="205"/>
      <c r="J151" s="194">
        <f t="shared" si="15"/>
        <v>0</v>
      </c>
      <c r="K151" s="201">
        <f t="shared" si="20"/>
        <v>0</v>
      </c>
      <c r="L151" s="201">
        <f t="shared" si="16"/>
        <v>0</v>
      </c>
      <c r="M151" s="202">
        <f t="shared" si="17"/>
        <v>0</v>
      </c>
      <c r="N151" s="180"/>
      <c r="O151" s="202">
        <f t="shared" si="18"/>
        <v>0</v>
      </c>
      <c r="P151" s="203"/>
      <c r="Q151"/>
      <c r="R151"/>
      <c r="AG151" s="20" t="str">
        <f t="shared" si="14"/>
        <v/>
      </c>
      <c r="AH151" s="20" t="e">
        <f>+VLOOKUP(AG151,Catálogo!E:F,2,0)</f>
        <v>#N/A</v>
      </c>
      <c r="AI151" s="20" t="e">
        <f>+VLOOKUP(AG151,Catálogo!E:G,3,0)</f>
        <v>#N/A</v>
      </c>
    </row>
    <row r="152" spans="9:35">
      <c r="I152" s="13"/>
      <c r="J152" s="194">
        <f t="shared" si="15"/>
        <v>0</v>
      </c>
      <c r="K152" s="201">
        <f t="shared" si="20"/>
        <v>0</v>
      </c>
      <c r="L152" s="201">
        <f t="shared" si="16"/>
        <v>0</v>
      </c>
      <c r="M152" s="202">
        <f t="shared" si="17"/>
        <v>0</v>
      </c>
      <c r="N152" s="180"/>
      <c r="O152" s="202">
        <f t="shared" si="18"/>
        <v>0</v>
      </c>
      <c r="P152" s="203"/>
      <c r="Q152"/>
      <c r="R152"/>
      <c r="AG152" s="20" t="str">
        <f t="shared" si="14"/>
        <v/>
      </c>
      <c r="AH152" s="20" t="e">
        <f>+VLOOKUP(AG152,Catálogo!E:F,2,0)</f>
        <v>#N/A</v>
      </c>
      <c r="AI152" s="20" t="e">
        <f>+VLOOKUP(AG152,Catálogo!E:G,3,0)</f>
        <v>#N/A</v>
      </c>
    </row>
    <row r="153" spans="9:35">
      <c r="J153" s="194">
        <f t="shared" si="15"/>
        <v>0</v>
      </c>
      <c r="K153" s="201">
        <f t="shared" si="20"/>
        <v>0</v>
      </c>
      <c r="L153" s="201">
        <f t="shared" si="16"/>
        <v>0</v>
      </c>
      <c r="M153" s="202">
        <f t="shared" si="17"/>
        <v>0</v>
      </c>
      <c r="N153" s="180"/>
      <c r="O153" s="202">
        <f t="shared" si="18"/>
        <v>0</v>
      </c>
      <c r="P153" s="203"/>
      <c r="Q153"/>
      <c r="R153"/>
      <c r="AG153" s="20" t="str">
        <f t="shared" si="14"/>
        <v/>
      </c>
      <c r="AH153" s="20" t="e">
        <f>+VLOOKUP(AG153,Catálogo!E:F,2,0)</f>
        <v>#N/A</v>
      </c>
      <c r="AI153" s="20" t="e">
        <f>+VLOOKUP(AG153,Catálogo!E:G,3,0)</f>
        <v>#N/A</v>
      </c>
    </row>
    <row r="154" spans="9:35">
      <c r="J154" s="194">
        <f t="shared" si="15"/>
        <v>0</v>
      </c>
      <c r="K154" s="201">
        <f t="shared" si="20"/>
        <v>0</v>
      </c>
      <c r="L154" s="201">
        <f t="shared" si="16"/>
        <v>0</v>
      </c>
      <c r="M154" s="202">
        <f t="shared" si="17"/>
        <v>0</v>
      </c>
      <c r="N154" s="180"/>
      <c r="O154" s="202">
        <f t="shared" si="18"/>
        <v>0</v>
      </c>
      <c r="P154" s="203"/>
      <c r="Q154"/>
      <c r="R154"/>
      <c r="AG154" s="20" t="str">
        <f t="shared" si="14"/>
        <v/>
      </c>
      <c r="AH154" s="20" t="e">
        <f>+VLOOKUP(AG154,Catálogo!E:F,2,0)</f>
        <v>#N/A</v>
      </c>
      <c r="AI154" s="20" t="e">
        <f>+VLOOKUP(AG154,Catálogo!E:G,3,0)</f>
        <v>#N/A</v>
      </c>
    </row>
    <row r="155" spans="9:35">
      <c r="J155" s="194">
        <f t="shared" si="15"/>
        <v>0</v>
      </c>
      <c r="K155" s="201">
        <f t="shared" si="20"/>
        <v>0</v>
      </c>
      <c r="L155" s="201">
        <f t="shared" si="16"/>
        <v>0</v>
      </c>
      <c r="M155" s="202">
        <f t="shared" si="17"/>
        <v>0</v>
      </c>
      <c r="N155" s="180"/>
      <c r="O155" s="202">
        <f t="shared" si="18"/>
        <v>0</v>
      </c>
      <c r="P155" s="203"/>
      <c r="Q155"/>
      <c r="R155"/>
      <c r="AG155" s="20" t="str">
        <f t="shared" si="14"/>
        <v/>
      </c>
      <c r="AH155" s="20" t="e">
        <f>+VLOOKUP(AG155,Catálogo!E:F,2,0)</f>
        <v>#N/A</v>
      </c>
      <c r="AI155" s="20" t="e">
        <f>+VLOOKUP(AG155,Catálogo!E:G,3,0)</f>
        <v>#N/A</v>
      </c>
    </row>
    <row r="156" spans="9:35">
      <c r="J156" s="194">
        <f t="shared" si="15"/>
        <v>0</v>
      </c>
      <c r="K156" s="201">
        <f t="shared" si="20"/>
        <v>0</v>
      </c>
      <c r="L156" s="201">
        <f t="shared" si="16"/>
        <v>0</v>
      </c>
      <c r="M156" s="202">
        <f t="shared" si="17"/>
        <v>0</v>
      </c>
      <c r="N156" s="180"/>
      <c r="O156" s="202">
        <f t="shared" si="18"/>
        <v>0</v>
      </c>
      <c r="P156" s="203"/>
      <c r="Q156"/>
      <c r="R156"/>
      <c r="AG156" s="20" t="str">
        <f t="shared" si="14"/>
        <v/>
      </c>
      <c r="AH156" s="20" t="e">
        <f>+VLOOKUP(AG156,Catálogo!E:F,2,0)</f>
        <v>#N/A</v>
      </c>
      <c r="AI156" s="20" t="e">
        <f>+VLOOKUP(AG156,Catálogo!E:G,3,0)</f>
        <v>#N/A</v>
      </c>
    </row>
    <row r="157" spans="9:35">
      <c r="J157" s="194">
        <f t="shared" si="15"/>
        <v>0</v>
      </c>
      <c r="K157" s="201">
        <f t="shared" si="20"/>
        <v>0</v>
      </c>
      <c r="L157" s="201">
        <f t="shared" si="16"/>
        <v>0</v>
      </c>
      <c r="M157" s="202">
        <f t="shared" si="17"/>
        <v>0</v>
      </c>
      <c r="N157" s="180"/>
      <c r="O157" s="202">
        <f t="shared" si="18"/>
        <v>0</v>
      </c>
      <c r="P157" s="203"/>
      <c r="Q157"/>
      <c r="R157"/>
      <c r="AG157" s="20" t="str">
        <f t="shared" si="14"/>
        <v/>
      </c>
      <c r="AH157" s="20" t="e">
        <f>+VLOOKUP(AG157,Catálogo!E:F,2,0)</f>
        <v>#N/A</v>
      </c>
      <c r="AI157" s="20" t="e">
        <f>+VLOOKUP(AG157,Catálogo!E:G,3,0)</f>
        <v>#N/A</v>
      </c>
    </row>
    <row r="158" spans="9:35">
      <c r="J158" s="194">
        <f t="shared" si="15"/>
        <v>0</v>
      </c>
      <c r="K158" s="201">
        <f t="shared" si="20"/>
        <v>0</v>
      </c>
      <c r="L158" s="201">
        <f t="shared" si="16"/>
        <v>0</v>
      </c>
      <c r="M158" s="202">
        <f t="shared" si="17"/>
        <v>0</v>
      </c>
      <c r="N158" s="180"/>
      <c r="O158" s="202">
        <f t="shared" si="18"/>
        <v>0</v>
      </c>
      <c r="P158" s="203"/>
      <c r="Q158"/>
      <c r="R158"/>
      <c r="AG158" s="20" t="str">
        <f t="shared" si="14"/>
        <v/>
      </c>
      <c r="AH158" s="20" t="e">
        <f>+VLOOKUP(AG158,Catálogo!E:F,2,0)</f>
        <v>#N/A</v>
      </c>
      <c r="AI158" s="20" t="e">
        <f>+VLOOKUP(AG158,Catálogo!E:G,3,0)</f>
        <v>#N/A</v>
      </c>
    </row>
    <row r="159" spans="9:35">
      <c r="J159" s="194">
        <f t="shared" si="15"/>
        <v>0</v>
      </c>
      <c r="K159" s="201">
        <f t="shared" si="20"/>
        <v>0</v>
      </c>
      <c r="L159" s="201">
        <f t="shared" si="16"/>
        <v>0</v>
      </c>
      <c r="M159" s="202">
        <f t="shared" si="17"/>
        <v>0</v>
      </c>
      <c r="N159" s="180"/>
      <c r="O159" s="202">
        <f t="shared" si="18"/>
        <v>0</v>
      </c>
      <c r="P159" s="203"/>
      <c r="Q159"/>
      <c r="R159"/>
      <c r="AG159" s="20" t="str">
        <f t="shared" si="14"/>
        <v/>
      </c>
      <c r="AH159" s="20" t="e">
        <f>+VLOOKUP(AG159,Catálogo!E:F,2,0)</f>
        <v>#N/A</v>
      </c>
      <c r="AI159" s="20" t="e">
        <f>+VLOOKUP(AG159,Catálogo!E:G,3,0)</f>
        <v>#N/A</v>
      </c>
    </row>
    <row r="160" spans="9:35">
      <c r="J160" s="194">
        <f t="shared" si="15"/>
        <v>0</v>
      </c>
      <c r="K160" s="201">
        <f t="shared" si="20"/>
        <v>0</v>
      </c>
      <c r="L160" s="201">
        <f t="shared" si="16"/>
        <v>0</v>
      </c>
      <c r="M160" s="202">
        <f t="shared" si="17"/>
        <v>0</v>
      </c>
      <c r="N160" s="180"/>
      <c r="O160" s="202">
        <f t="shared" si="18"/>
        <v>0</v>
      </c>
      <c r="P160" s="203"/>
      <c r="Q160"/>
      <c r="R160"/>
      <c r="AG160" s="20" t="str">
        <f t="shared" si="14"/>
        <v/>
      </c>
      <c r="AH160" s="20" t="e">
        <f>+VLOOKUP(AG160,Catálogo!E:F,2,0)</f>
        <v>#N/A</v>
      </c>
      <c r="AI160" s="20" t="e">
        <f>+VLOOKUP(AG160,Catálogo!E:G,3,0)</f>
        <v>#N/A</v>
      </c>
    </row>
    <row r="161" spans="10:35">
      <c r="J161" s="194">
        <f t="shared" si="15"/>
        <v>0</v>
      </c>
      <c r="K161" s="201">
        <f t="shared" si="20"/>
        <v>0</v>
      </c>
      <c r="L161" s="201">
        <f t="shared" si="16"/>
        <v>0</v>
      </c>
      <c r="M161" s="202">
        <f t="shared" si="17"/>
        <v>0</v>
      </c>
      <c r="N161" s="180"/>
      <c r="O161" s="202">
        <f t="shared" si="18"/>
        <v>0</v>
      </c>
      <c r="P161" s="203"/>
      <c r="Q161"/>
      <c r="R161"/>
      <c r="AG161" s="20" t="str">
        <f t="shared" si="14"/>
        <v/>
      </c>
      <c r="AH161" s="20" t="e">
        <f>+VLOOKUP(AG161,Catálogo!E:F,2,0)</f>
        <v>#N/A</v>
      </c>
      <c r="AI161" s="20" t="e">
        <f>+VLOOKUP(AG161,Catálogo!E:G,3,0)</f>
        <v>#N/A</v>
      </c>
    </row>
    <row r="162" spans="10:35">
      <c r="J162" s="194">
        <f t="shared" si="15"/>
        <v>0</v>
      </c>
      <c r="K162" s="201">
        <f t="shared" si="20"/>
        <v>0</v>
      </c>
      <c r="L162" s="201">
        <f t="shared" si="16"/>
        <v>0</v>
      </c>
      <c r="M162" s="202">
        <f t="shared" si="17"/>
        <v>0</v>
      </c>
      <c r="N162" s="180"/>
      <c r="O162" s="202">
        <f t="shared" si="18"/>
        <v>0</v>
      </c>
      <c r="P162" s="203"/>
      <c r="Q162"/>
      <c r="R162"/>
      <c r="AG162" s="20" t="str">
        <f t="shared" si="14"/>
        <v/>
      </c>
      <c r="AH162" s="20" t="e">
        <f>+VLOOKUP(AG162,Catálogo!E:F,2,0)</f>
        <v>#N/A</v>
      </c>
      <c r="AI162" s="20" t="e">
        <f>+VLOOKUP(AG162,Catálogo!E:G,3,0)</f>
        <v>#N/A</v>
      </c>
    </row>
    <row r="163" spans="10:35">
      <c r="J163" s="194">
        <f t="shared" si="15"/>
        <v>0</v>
      </c>
      <c r="K163" s="201">
        <f t="shared" si="20"/>
        <v>0</v>
      </c>
      <c r="L163" s="201">
        <f t="shared" si="16"/>
        <v>0</v>
      </c>
      <c r="M163" s="202">
        <f t="shared" si="17"/>
        <v>0</v>
      </c>
      <c r="N163" s="180"/>
      <c r="O163" s="202">
        <f t="shared" si="18"/>
        <v>0</v>
      </c>
      <c r="P163" s="203"/>
      <c r="Q163"/>
      <c r="R163"/>
      <c r="AG163" s="20" t="str">
        <f t="shared" si="14"/>
        <v/>
      </c>
      <c r="AH163" s="20" t="e">
        <f>+VLOOKUP(AG163,Catálogo!E:F,2,0)</f>
        <v>#N/A</v>
      </c>
      <c r="AI163" s="20" t="e">
        <f>+VLOOKUP(AG163,Catálogo!E:G,3,0)</f>
        <v>#N/A</v>
      </c>
    </row>
    <row r="164" spans="10:35">
      <c r="J164" s="194">
        <f t="shared" si="15"/>
        <v>0</v>
      </c>
      <c r="K164" s="201">
        <f t="shared" si="20"/>
        <v>0</v>
      </c>
      <c r="L164" s="201">
        <f t="shared" si="16"/>
        <v>0</v>
      </c>
      <c r="M164" s="202">
        <f t="shared" si="17"/>
        <v>0</v>
      </c>
      <c r="N164" s="180"/>
      <c r="O164" s="202">
        <f t="shared" si="18"/>
        <v>0</v>
      </c>
      <c r="P164" s="203"/>
      <c r="Q164"/>
      <c r="R164"/>
      <c r="AG164" s="20" t="str">
        <f t="shared" si="14"/>
        <v/>
      </c>
      <c r="AH164" s="20" t="e">
        <f>+VLOOKUP(AG164,Catálogo!E:F,2,0)</f>
        <v>#N/A</v>
      </c>
      <c r="AI164" s="20" t="e">
        <f>+VLOOKUP(AG164,Catálogo!E:G,3,0)</f>
        <v>#N/A</v>
      </c>
    </row>
    <row r="165" spans="10:35">
      <c r="J165" s="194">
        <f t="shared" si="15"/>
        <v>0</v>
      </c>
      <c r="K165" s="201">
        <f t="shared" si="20"/>
        <v>0</v>
      </c>
      <c r="L165" s="201">
        <f t="shared" si="16"/>
        <v>0</v>
      </c>
      <c r="M165" s="202">
        <f t="shared" si="17"/>
        <v>0</v>
      </c>
      <c r="N165" s="180"/>
      <c r="O165" s="202">
        <f t="shared" si="18"/>
        <v>0</v>
      </c>
      <c r="P165" s="203"/>
      <c r="Q165"/>
      <c r="R165"/>
      <c r="AG165" s="20" t="str">
        <f t="shared" si="14"/>
        <v/>
      </c>
      <c r="AH165" s="20" t="e">
        <f>+VLOOKUP(AG165,Catálogo!E:F,2,0)</f>
        <v>#N/A</v>
      </c>
      <c r="AI165" s="20" t="e">
        <f>+VLOOKUP(AG165,Catálogo!E:G,3,0)</f>
        <v>#N/A</v>
      </c>
    </row>
    <row r="166" spans="10:35">
      <c r="J166" s="194">
        <f t="shared" si="15"/>
        <v>0</v>
      </c>
      <c r="K166" s="201">
        <f t="shared" si="20"/>
        <v>0</v>
      </c>
      <c r="L166" s="201">
        <f t="shared" si="16"/>
        <v>0</v>
      </c>
      <c r="M166" s="202">
        <f t="shared" si="17"/>
        <v>0</v>
      </c>
      <c r="N166" s="180"/>
      <c r="O166" s="202">
        <f t="shared" si="18"/>
        <v>0</v>
      </c>
      <c r="P166" s="203"/>
      <c r="Q166"/>
      <c r="R166"/>
      <c r="AG166" s="20" t="str">
        <f t="shared" si="14"/>
        <v/>
      </c>
      <c r="AH166" s="20" t="e">
        <f>+VLOOKUP(AG166,Catálogo!E:F,2,0)</f>
        <v>#N/A</v>
      </c>
      <c r="AI166" s="20" t="e">
        <f>+VLOOKUP(AG166,Catálogo!E:G,3,0)</f>
        <v>#N/A</v>
      </c>
    </row>
    <row r="167" spans="10:35">
      <c r="J167" s="194">
        <f t="shared" si="15"/>
        <v>0</v>
      </c>
      <c r="K167" s="201">
        <f t="shared" si="20"/>
        <v>0</v>
      </c>
      <c r="L167" s="201">
        <f t="shared" si="16"/>
        <v>0</v>
      </c>
      <c r="M167" s="202">
        <f t="shared" si="17"/>
        <v>0</v>
      </c>
      <c r="N167" s="180"/>
      <c r="O167" s="202">
        <f t="shared" si="18"/>
        <v>0</v>
      </c>
      <c r="P167" s="203"/>
      <c r="Q167"/>
      <c r="R167"/>
      <c r="AG167" s="20" t="str">
        <f t="shared" si="14"/>
        <v/>
      </c>
      <c r="AH167" s="20" t="e">
        <f>+VLOOKUP(AG167,Catálogo!E:F,2,0)</f>
        <v>#N/A</v>
      </c>
      <c r="AI167" s="20" t="e">
        <f>+VLOOKUP(AG167,Catálogo!E:G,3,0)</f>
        <v>#N/A</v>
      </c>
    </row>
    <row r="168" spans="10:35">
      <c r="J168" s="194">
        <f t="shared" si="15"/>
        <v>0</v>
      </c>
      <c r="K168" s="201">
        <f t="shared" si="20"/>
        <v>0</v>
      </c>
      <c r="L168" s="201">
        <f t="shared" si="16"/>
        <v>0</v>
      </c>
      <c r="M168" s="202">
        <f t="shared" si="17"/>
        <v>0</v>
      </c>
      <c r="N168" s="180"/>
      <c r="O168" s="202">
        <f t="shared" si="18"/>
        <v>0</v>
      </c>
      <c r="P168" s="203"/>
      <c r="Q168"/>
      <c r="R168"/>
      <c r="AG168" s="20" t="str">
        <f t="shared" si="14"/>
        <v/>
      </c>
      <c r="AH168" s="20" t="e">
        <f>+VLOOKUP(AG168,Catálogo!E:F,2,0)</f>
        <v>#N/A</v>
      </c>
      <c r="AI168" s="20" t="e">
        <f>+VLOOKUP(AG168,Catálogo!E:G,3,0)</f>
        <v>#N/A</v>
      </c>
    </row>
    <row r="169" spans="10:35">
      <c r="J169" s="194">
        <f t="shared" si="15"/>
        <v>0</v>
      </c>
      <c r="K169" s="201">
        <f t="shared" si="20"/>
        <v>0</v>
      </c>
      <c r="L169" s="201">
        <f t="shared" si="16"/>
        <v>0</v>
      </c>
      <c r="M169" s="202">
        <f t="shared" si="17"/>
        <v>0</v>
      </c>
      <c r="N169" s="180"/>
      <c r="O169" s="202">
        <f t="shared" si="18"/>
        <v>0</v>
      </c>
      <c r="P169" s="203"/>
      <c r="Q169"/>
      <c r="R169"/>
      <c r="AG169" s="20" t="str">
        <f t="shared" si="14"/>
        <v/>
      </c>
      <c r="AH169" s="20" t="e">
        <f>+VLOOKUP(AG169,Catálogo!E:F,2,0)</f>
        <v>#N/A</v>
      </c>
      <c r="AI169" s="20" t="e">
        <f>+VLOOKUP(AG169,Catálogo!E:G,3,0)</f>
        <v>#N/A</v>
      </c>
    </row>
    <row r="170" spans="10:35">
      <c r="J170" s="194">
        <f t="shared" si="15"/>
        <v>0</v>
      </c>
      <c r="K170" s="201">
        <f t="shared" si="20"/>
        <v>0</v>
      </c>
      <c r="L170" s="201">
        <f t="shared" si="16"/>
        <v>0</v>
      </c>
      <c r="M170" s="202">
        <f t="shared" si="17"/>
        <v>0</v>
      </c>
      <c r="N170" s="180"/>
      <c r="O170" s="202">
        <f t="shared" si="18"/>
        <v>0</v>
      </c>
      <c r="P170" s="203"/>
      <c r="Q170"/>
      <c r="R170"/>
      <c r="AG170" s="20" t="str">
        <f t="shared" si="14"/>
        <v/>
      </c>
      <c r="AH170" s="20" t="e">
        <f>+VLOOKUP(AG170,Catálogo!E:F,2,0)</f>
        <v>#N/A</v>
      </c>
      <c r="AI170" s="20" t="e">
        <f>+VLOOKUP(AG170,Catálogo!E:G,3,0)</f>
        <v>#N/A</v>
      </c>
    </row>
    <row r="171" spans="10:35">
      <c r="J171" s="194">
        <f t="shared" si="15"/>
        <v>0</v>
      </c>
      <c r="K171" s="201">
        <f t="shared" si="20"/>
        <v>0</v>
      </c>
      <c r="L171" s="201">
        <f t="shared" si="16"/>
        <v>0</v>
      </c>
      <c r="M171" s="202">
        <f t="shared" si="17"/>
        <v>0</v>
      </c>
      <c r="N171" s="180"/>
      <c r="O171" s="202">
        <f t="shared" si="18"/>
        <v>0</v>
      </c>
      <c r="P171" s="203"/>
      <c r="Q171"/>
      <c r="R171"/>
      <c r="AG171" s="20" t="str">
        <f t="shared" si="14"/>
        <v/>
      </c>
      <c r="AH171" s="20" t="e">
        <f>+VLOOKUP(AG171,Catálogo!E:F,2,0)</f>
        <v>#N/A</v>
      </c>
      <c r="AI171" s="20" t="e">
        <f>+VLOOKUP(AG171,Catálogo!E:G,3,0)</f>
        <v>#N/A</v>
      </c>
    </row>
    <row r="172" spans="10:35">
      <c r="J172" s="194">
        <f t="shared" si="15"/>
        <v>0</v>
      </c>
      <c r="K172" s="201">
        <f t="shared" si="20"/>
        <v>0</v>
      </c>
      <c r="L172" s="201">
        <f t="shared" si="16"/>
        <v>0</v>
      </c>
      <c r="M172" s="202">
        <f t="shared" si="17"/>
        <v>0</v>
      </c>
      <c r="N172" s="180"/>
      <c r="O172" s="202">
        <f t="shared" si="18"/>
        <v>0</v>
      </c>
      <c r="P172" s="203"/>
      <c r="Q172"/>
      <c r="R172"/>
      <c r="AG172" s="20" t="str">
        <f t="shared" si="14"/>
        <v/>
      </c>
      <c r="AH172" s="20" t="e">
        <f>+VLOOKUP(AG172,Catálogo!E:F,2,0)</f>
        <v>#N/A</v>
      </c>
      <c r="AI172" s="20" t="e">
        <f>+VLOOKUP(AG172,Catálogo!E:G,3,0)</f>
        <v>#N/A</v>
      </c>
    </row>
    <row r="173" spans="10:35">
      <c r="J173" s="194">
        <f t="shared" si="15"/>
        <v>0</v>
      </c>
      <c r="K173" s="201">
        <f t="shared" si="20"/>
        <v>0</v>
      </c>
      <c r="L173" s="201">
        <f t="shared" si="16"/>
        <v>0</v>
      </c>
      <c r="M173" s="202">
        <f t="shared" si="17"/>
        <v>0</v>
      </c>
      <c r="N173" s="180"/>
      <c r="O173" s="202">
        <f t="shared" si="18"/>
        <v>0</v>
      </c>
      <c r="P173" s="203"/>
      <c r="Q173"/>
      <c r="R173"/>
      <c r="AG173" s="20" t="str">
        <f t="shared" si="14"/>
        <v/>
      </c>
      <c r="AH173" s="20" t="e">
        <f>+VLOOKUP(AG173,Catálogo!E:F,2,0)</f>
        <v>#N/A</v>
      </c>
      <c r="AI173" s="20" t="e">
        <f>+VLOOKUP(AG173,Catálogo!E:G,3,0)</f>
        <v>#N/A</v>
      </c>
    </row>
    <row r="174" spans="10:35">
      <c r="J174" s="194">
        <f t="shared" si="15"/>
        <v>0</v>
      </c>
      <c r="K174" s="201">
        <f t="shared" si="20"/>
        <v>0</v>
      </c>
      <c r="L174" s="201">
        <f t="shared" si="16"/>
        <v>0</v>
      </c>
      <c r="M174" s="202">
        <f t="shared" si="17"/>
        <v>0</v>
      </c>
      <c r="N174" s="180"/>
      <c r="O174" s="202">
        <f t="shared" si="18"/>
        <v>0</v>
      </c>
      <c r="P174" s="203"/>
      <c r="Q174"/>
      <c r="R174"/>
      <c r="AG174" s="20" t="str">
        <f t="shared" si="14"/>
        <v/>
      </c>
      <c r="AH174" s="20" t="e">
        <f>+VLOOKUP(AG174,Catálogo!E:F,2,0)</f>
        <v>#N/A</v>
      </c>
      <c r="AI174" s="20" t="e">
        <f>+VLOOKUP(AG174,Catálogo!E:G,3,0)</f>
        <v>#N/A</v>
      </c>
    </row>
    <row r="175" spans="10:35">
      <c r="J175" s="194">
        <f t="shared" si="15"/>
        <v>0</v>
      </c>
      <c r="K175" s="201">
        <f t="shared" si="20"/>
        <v>0</v>
      </c>
      <c r="L175" s="201">
        <f t="shared" si="16"/>
        <v>0</v>
      </c>
      <c r="M175" s="202">
        <f t="shared" si="17"/>
        <v>0</v>
      </c>
      <c r="N175" s="180"/>
      <c r="O175" s="202">
        <f t="shared" si="18"/>
        <v>0</v>
      </c>
      <c r="P175" s="203"/>
      <c r="Q175"/>
      <c r="R175"/>
      <c r="AG175" s="20" t="str">
        <f t="shared" si="14"/>
        <v/>
      </c>
      <c r="AH175" s="20" t="e">
        <f>+VLOOKUP(AG175,Catálogo!E:F,2,0)</f>
        <v>#N/A</v>
      </c>
      <c r="AI175" s="20" t="e">
        <f>+VLOOKUP(AG175,Catálogo!E:G,3,0)</f>
        <v>#N/A</v>
      </c>
    </row>
    <row r="176" spans="10:35">
      <c r="J176" s="194">
        <f t="shared" si="15"/>
        <v>0</v>
      </c>
      <c r="K176" s="201">
        <f t="shared" si="20"/>
        <v>0</v>
      </c>
      <c r="L176" s="201">
        <f t="shared" si="16"/>
        <v>0</v>
      </c>
      <c r="M176" s="202">
        <f t="shared" si="17"/>
        <v>0</v>
      </c>
      <c r="N176" s="180"/>
      <c r="O176" s="202">
        <f t="shared" si="18"/>
        <v>0</v>
      </c>
      <c r="P176" s="203"/>
      <c r="Q176"/>
      <c r="R176"/>
      <c r="AG176" s="20" t="str">
        <f t="shared" si="14"/>
        <v/>
      </c>
      <c r="AH176" s="20" t="e">
        <f>+VLOOKUP(AG176,Catálogo!E:F,2,0)</f>
        <v>#N/A</v>
      </c>
      <c r="AI176" s="20" t="e">
        <f>+VLOOKUP(AG176,Catálogo!E:G,3,0)</f>
        <v>#N/A</v>
      </c>
    </row>
    <row r="177" spans="10:35">
      <c r="J177" s="194">
        <f t="shared" si="15"/>
        <v>0</v>
      </c>
      <c r="K177" s="201">
        <f t="shared" si="20"/>
        <v>0</v>
      </c>
      <c r="L177" s="201">
        <f t="shared" si="16"/>
        <v>0</v>
      </c>
      <c r="M177" s="202">
        <f t="shared" si="17"/>
        <v>0</v>
      </c>
      <c r="N177" s="180"/>
      <c r="O177" s="202">
        <f t="shared" si="18"/>
        <v>0</v>
      </c>
      <c r="P177" s="203"/>
      <c r="Q177"/>
      <c r="R177"/>
      <c r="AG177" s="20" t="str">
        <f t="shared" si="14"/>
        <v/>
      </c>
      <c r="AH177" s="20" t="e">
        <f>+VLOOKUP(AG177,Catálogo!E:F,2,0)</f>
        <v>#N/A</v>
      </c>
      <c r="AI177" s="20" t="e">
        <f>+VLOOKUP(AG177,Catálogo!E:G,3,0)</f>
        <v>#N/A</v>
      </c>
    </row>
    <row r="178" spans="10:35">
      <c r="J178" s="194">
        <f t="shared" si="15"/>
        <v>0</v>
      </c>
      <c r="K178" s="201">
        <f t="shared" si="20"/>
        <v>0</v>
      </c>
      <c r="L178" s="201">
        <f t="shared" si="16"/>
        <v>0</v>
      </c>
      <c r="M178" s="202">
        <f t="shared" si="17"/>
        <v>0</v>
      </c>
      <c r="N178" s="180"/>
      <c r="O178" s="202">
        <f t="shared" si="18"/>
        <v>0</v>
      </c>
      <c r="P178" s="203"/>
      <c r="Q178"/>
      <c r="R178"/>
      <c r="AG178" s="20" t="str">
        <f t="shared" si="14"/>
        <v/>
      </c>
      <c r="AH178" s="20" t="e">
        <f>+VLOOKUP(AG178,Catálogo!E:F,2,0)</f>
        <v>#N/A</v>
      </c>
      <c r="AI178" s="20" t="e">
        <f>+VLOOKUP(AG178,Catálogo!E:G,3,0)</f>
        <v>#N/A</v>
      </c>
    </row>
    <row r="179" spans="10:35">
      <c r="J179" s="194">
        <f t="shared" si="15"/>
        <v>0</v>
      </c>
      <c r="K179" s="201">
        <f t="shared" si="20"/>
        <v>0</v>
      </c>
      <c r="L179" s="201">
        <f t="shared" si="16"/>
        <v>0</v>
      </c>
      <c r="M179" s="202">
        <f t="shared" si="17"/>
        <v>0</v>
      </c>
      <c r="N179" s="180"/>
      <c r="O179" s="202">
        <f t="shared" si="18"/>
        <v>0</v>
      </c>
      <c r="P179" s="203"/>
      <c r="Q179"/>
      <c r="R179"/>
      <c r="AG179" s="20" t="str">
        <f t="shared" si="14"/>
        <v/>
      </c>
      <c r="AH179" s="20" t="e">
        <f>+VLOOKUP(AG179,Catálogo!E:F,2,0)</f>
        <v>#N/A</v>
      </c>
      <c r="AI179" s="20" t="e">
        <f>+VLOOKUP(AG179,Catálogo!E:G,3,0)</f>
        <v>#N/A</v>
      </c>
    </row>
    <row r="180" spans="10:35">
      <c r="J180" s="194">
        <f t="shared" si="15"/>
        <v>0</v>
      </c>
      <c r="K180" s="201">
        <f t="shared" si="20"/>
        <v>0</v>
      </c>
      <c r="L180" s="201">
        <f t="shared" si="16"/>
        <v>0</v>
      </c>
      <c r="M180" s="202">
        <f t="shared" si="17"/>
        <v>0</v>
      </c>
      <c r="N180" s="180"/>
      <c r="O180" s="202">
        <f t="shared" si="18"/>
        <v>0</v>
      </c>
      <c r="P180" s="203"/>
      <c r="Q180"/>
      <c r="R180"/>
      <c r="AG180" s="20" t="str">
        <f t="shared" si="14"/>
        <v/>
      </c>
      <c r="AH180" s="20" t="e">
        <f>+VLOOKUP(AG180,Catálogo!E:F,2,0)</f>
        <v>#N/A</v>
      </c>
      <c r="AI180" s="20" t="e">
        <f>+VLOOKUP(AG180,Catálogo!E:G,3,0)</f>
        <v>#N/A</v>
      </c>
    </row>
    <row r="181" spans="10:35">
      <c r="J181" s="194">
        <f t="shared" si="15"/>
        <v>0</v>
      </c>
      <c r="K181" s="201">
        <f t="shared" si="20"/>
        <v>0</v>
      </c>
      <c r="L181" s="201">
        <f t="shared" si="16"/>
        <v>0</v>
      </c>
      <c r="M181" s="202">
        <f t="shared" si="17"/>
        <v>0</v>
      </c>
      <c r="N181" s="180"/>
      <c r="O181" s="202">
        <f t="shared" si="18"/>
        <v>0</v>
      </c>
      <c r="P181" s="203"/>
      <c r="Q181"/>
      <c r="R181"/>
      <c r="AG181" s="20" t="str">
        <f t="shared" si="14"/>
        <v/>
      </c>
      <c r="AH181" s="20" t="e">
        <f>+VLOOKUP(AG181,Catálogo!E:F,2,0)</f>
        <v>#N/A</v>
      </c>
      <c r="AI181" s="20" t="e">
        <f>+VLOOKUP(AG181,Catálogo!E:G,3,0)</f>
        <v>#N/A</v>
      </c>
    </row>
    <row r="182" spans="10:35">
      <c r="J182" s="194">
        <f t="shared" si="15"/>
        <v>0</v>
      </c>
      <c r="K182" s="201">
        <f t="shared" si="20"/>
        <v>0</v>
      </c>
      <c r="L182" s="201">
        <f t="shared" si="16"/>
        <v>0</v>
      </c>
      <c r="M182" s="202">
        <f t="shared" si="17"/>
        <v>0</v>
      </c>
      <c r="N182" s="180"/>
      <c r="O182" s="202">
        <f t="shared" si="18"/>
        <v>0</v>
      </c>
      <c r="P182" s="203"/>
      <c r="Q182"/>
      <c r="R182"/>
      <c r="AG182" s="20" t="str">
        <f t="shared" si="14"/>
        <v/>
      </c>
      <c r="AH182" s="20" t="e">
        <f>+VLOOKUP(AG182,Catálogo!E:F,2,0)</f>
        <v>#N/A</v>
      </c>
      <c r="AI182" s="20" t="e">
        <f>+VLOOKUP(AG182,Catálogo!E:G,3,0)</f>
        <v>#N/A</v>
      </c>
    </row>
    <row r="183" spans="10:35">
      <c r="J183" s="194">
        <f t="shared" si="15"/>
        <v>0</v>
      </c>
      <c r="K183" s="201">
        <f t="shared" si="20"/>
        <v>0</v>
      </c>
      <c r="L183" s="201">
        <f t="shared" si="16"/>
        <v>0</v>
      </c>
      <c r="M183" s="202">
        <f t="shared" si="17"/>
        <v>0</v>
      </c>
      <c r="N183" s="180"/>
      <c r="O183" s="202">
        <f t="shared" si="18"/>
        <v>0</v>
      </c>
      <c r="P183" s="203"/>
      <c r="Q183"/>
      <c r="R183"/>
      <c r="AG183" s="20" t="str">
        <f t="shared" si="14"/>
        <v/>
      </c>
      <c r="AH183" s="20" t="e">
        <f>+VLOOKUP(AG183,Catálogo!E:F,2,0)</f>
        <v>#N/A</v>
      </c>
      <c r="AI183" s="20" t="e">
        <f>+VLOOKUP(AG183,Catálogo!E:G,3,0)</f>
        <v>#N/A</v>
      </c>
    </row>
    <row r="184" spans="10:35">
      <c r="J184" s="194">
        <f t="shared" si="15"/>
        <v>0</v>
      </c>
      <c r="K184" s="201">
        <f t="shared" si="20"/>
        <v>0</v>
      </c>
      <c r="L184" s="201">
        <f t="shared" si="16"/>
        <v>0</v>
      </c>
      <c r="M184" s="202">
        <f t="shared" si="17"/>
        <v>0</v>
      </c>
      <c r="N184" s="180"/>
      <c r="O184" s="202">
        <f t="shared" si="18"/>
        <v>0</v>
      </c>
      <c r="P184" s="203"/>
      <c r="Q184"/>
      <c r="R184"/>
      <c r="AG184" s="20" t="str">
        <f t="shared" si="14"/>
        <v/>
      </c>
      <c r="AH184" s="20" t="e">
        <f>+VLOOKUP(AG184,Catálogo!E:F,2,0)</f>
        <v>#N/A</v>
      </c>
      <c r="AI184" s="20" t="e">
        <f>+VLOOKUP(AG184,Catálogo!E:G,3,0)</f>
        <v>#N/A</v>
      </c>
    </row>
    <row r="185" spans="10:35">
      <c r="J185" s="194">
        <f t="shared" si="15"/>
        <v>0</v>
      </c>
      <c r="K185" s="201">
        <f t="shared" si="20"/>
        <v>0</v>
      </c>
      <c r="L185" s="201">
        <f t="shared" si="16"/>
        <v>0</v>
      </c>
      <c r="M185" s="202">
        <f t="shared" si="17"/>
        <v>0</v>
      </c>
      <c r="N185" s="180"/>
      <c r="O185" s="202">
        <f t="shared" si="18"/>
        <v>0</v>
      </c>
      <c r="P185" s="203"/>
      <c r="Q185"/>
      <c r="R185"/>
      <c r="AG185" s="20" t="str">
        <f t="shared" si="14"/>
        <v/>
      </c>
      <c r="AH185" s="20" t="e">
        <f>+VLOOKUP(AG185,Catálogo!E:F,2,0)</f>
        <v>#N/A</v>
      </c>
      <c r="AI185" s="20" t="e">
        <f>+VLOOKUP(AG185,Catálogo!E:G,3,0)</f>
        <v>#N/A</v>
      </c>
    </row>
    <row r="186" spans="10:35">
      <c r="J186" s="194">
        <f t="shared" si="15"/>
        <v>0</v>
      </c>
      <c r="K186" s="201">
        <f t="shared" si="20"/>
        <v>0</v>
      </c>
      <c r="L186" s="201">
        <f t="shared" si="16"/>
        <v>0</v>
      </c>
      <c r="M186" s="202">
        <f t="shared" si="17"/>
        <v>0</v>
      </c>
      <c r="N186" s="180"/>
      <c r="O186" s="202">
        <f t="shared" si="18"/>
        <v>0</v>
      </c>
      <c r="P186" s="203"/>
      <c r="Q186"/>
      <c r="R186"/>
      <c r="AG186" s="20" t="str">
        <f t="shared" si="14"/>
        <v/>
      </c>
      <c r="AH186" s="20" t="e">
        <f>+VLOOKUP(AG186,Catálogo!E:F,2,0)</f>
        <v>#N/A</v>
      </c>
      <c r="AI186" s="20" t="e">
        <f>+VLOOKUP(AG186,Catálogo!E:G,3,0)</f>
        <v>#N/A</v>
      </c>
    </row>
    <row r="187" spans="10:35">
      <c r="J187" s="194">
        <f t="shared" si="15"/>
        <v>0</v>
      </c>
      <c r="K187" s="201">
        <f t="shared" si="20"/>
        <v>0</v>
      </c>
      <c r="L187" s="201">
        <f t="shared" si="16"/>
        <v>0</v>
      </c>
      <c r="M187" s="202">
        <f t="shared" si="17"/>
        <v>0</v>
      </c>
      <c r="N187" s="180"/>
      <c r="O187" s="202">
        <f t="shared" si="18"/>
        <v>0</v>
      </c>
      <c r="P187" s="203"/>
      <c r="Q187"/>
      <c r="R187"/>
      <c r="AG187" s="20" t="str">
        <f t="shared" si="14"/>
        <v/>
      </c>
      <c r="AH187" s="20" t="e">
        <f>+VLOOKUP(AG187,Catálogo!E:F,2,0)</f>
        <v>#N/A</v>
      </c>
      <c r="AI187" s="20" t="e">
        <f>+VLOOKUP(AG187,Catálogo!E:G,3,0)</f>
        <v>#N/A</v>
      </c>
    </row>
    <row r="188" spans="10:35">
      <c r="J188" s="194">
        <f t="shared" si="15"/>
        <v>0</v>
      </c>
      <c r="K188" s="201">
        <f t="shared" si="20"/>
        <v>0</v>
      </c>
      <c r="L188" s="201">
        <f t="shared" si="16"/>
        <v>0</v>
      </c>
      <c r="M188" s="202">
        <f t="shared" si="17"/>
        <v>0</v>
      </c>
      <c r="N188" s="180"/>
      <c r="O188" s="202">
        <f t="shared" si="18"/>
        <v>0</v>
      </c>
      <c r="P188" s="203"/>
      <c r="Q188"/>
      <c r="R188"/>
      <c r="AG188" s="20" t="str">
        <f t="shared" si="14"/>
        <v/>
      </c>
      <c r="AH188" s="20" t="e">
        <f>+VLOOKUP(AG188,Catálogo!E:F,2,0)</f>
        <v>#N/A</v>
      </c>
      <c r="AI188" s="20" t="e">
        <f>+VLOOKUP(AG188,Catálogo!E:G,3,0)</f>
        <v>#N/A</v>
      </c>
    </row>
    <row r="189" spans="10:35">
      <c r="J189" s="194">
        <f t="shared" si="15"/>
        <v>0</v>
      </c>
      <c r="K189" s="201">
        <f t="shared" si="20"/>
        <v>0</v>
      </c>
      <c r="L189" s="201">
        <f t="shared" si="16"/>
        <v>0</v>
      </c>
      <c r="M189" s="202">
        <f t="shared" si="17"/>
        <v>0</v>
      </c>
      <c r="N189" s="180"/>
      <c r="O189" s="202">
        <f t="shared" si="18"/>
        <v>0</v>
      </c>
      <c r="P189" s="203"/>
      <c r="Q189"/>
      <c r="R189"/>
      <c r="AG189" s="20" t="str">
        <f t="shared" si="14"/>
        <v/>
      </c>
      <c r="AH189" s="20" t="e">
        <f>+VLOOKUP(AG189,Catálogo!E:F,2,0)</f>
        <v>#N/A</v>
      </c>
      <c r="AI189" s="20" t="e">
        <f>+VLOOKUP(AG189,Catálogo!E:G,3,0)</f>
        <v>#N/A</v>
      </c>
    </row>
    <row r="190" spans="10:35">
      <c r="J190" s="194">
        <f t="shared" si="15"/>
        <v>0</v>
      </c>
      <c r="K190" s="201">
        <f t="shared" si="20"/>
        <v>0</v>
      </c>
      <c r="L190" s="201">
        <f t="shared" si="16"/>
        <v>0</v>
      </c>
      <c r="M190" s="202">
        <f t="shared" si="17"/>
        <v>0</v>
      </c>
      <c r="N190" s="180"/>
      <c r="O190" s="202">
        <f t="shared" si="18"/>
        <v>0</v>
      </c>
      <c r="P190" s="203"/>
      <c r="Q190"/>
      <c r="R190"/>
      <c r="AG190" s="20" t="str">
        <f t="shared" si="14"/>
        <v/>
      </c>
      <c r="AH190" s="20" t="e">
        <f>+VLOOKUP(AG190,Catálogo!E:F,2,0)</f>
        <v>#N/A</v>
      </c>
      <c r="AI190" s="20" t="e">
        <f>+VLOOKUP(AG190,Catálogo!E:G,3,0)</f>
        <v>#N/A</v>
      </c>
    </row>
    <row r="191" spans="10:35">
      <c r="J191" s="194">
        <f t="shared" si="15"/>
        <v>0</v>
      </c>
      <c r="K191" s="201">
        <f t="shared" si="20"/>
        <v>0</v>
      </c>
      <c r="L191" s="201">
        <f t="shared" si="16"/>
        <v>0</v>
      </c>
      <c r="M191" s="202">
        <f t="shared" si="17"/>
        <v>0</v>
      </c>
      <c r="N191" s="180"/>
      <c r="O191" s="202">
        <f t="shared" si="18"/>
        <v>0</v>
      </c>
      <c r="P191" s="203"/>
      <c r="Q191"/>
      <c r="R191"/>
      <c r="AG191" s="20" t="str">
        <f t="shared" si="14"/>
        <v/>
      </c>
      <c r="AH191" s="20" t="e">
        <f>+VLOOKUP(AG191,Catálogo!E:F,2,0)</f>
        <v>#N/A</v>
      </c>
      <c r="AI191" s="20" t="e">
        <f>+VLOOKUP(AG191,Catálogo!E:G,3,0)</f>
        <v>#N/A</v>
      </c>
    </row>
    <row r="192" spans="10:35">
      <c r="J192" s="194">
        <f t="shared" si="15"/>
        <v>0</v>
      </c>
      <c r="K192" s="201">
        <f t="shared" si="20"/>
        <v>0</v>
      </c>
      <c r="L192" s="201">
        <f t="shared" si="16"/>
        <v>0</v>
      </c>
      <c r="M192" s="202">
        <f t="shared" si="17"/>
        <v>0</v>
      </c>
      <c r="N192" s="180"/>
      <c r="O192" s="202">
        <f t="shared" si="18"/>
        <v>0</v>
      </c>
      <c r="P192" s="203"/>
      <c r="Q192"/>
      <c r="R192"/>
      <c r="AG192" s="20" t="str">
        <f t="shared" si="14"/>
        <v/>
      </c>
      <c r="AH192" s="20" t="e">
        <f>+VLOOKUP(AG192,Catálogo!E:F,2,0)</f>
        <v>#N/A</v>
      </c>
      <c r="AI192" s="20" t="e">
        <f>+VLOOKUP(AG192,Catálogo!E:G,3,0)</f>
        <v>#N/A</v>
      </c>
    </row>
    <row r="193" spans="10:35">
      <c r="J193" s="194">
        <f t="shared" si="15"/>
        <v>0</v>
      </c>
      <c r="K193" s="201">
        <f t="shared" si="20"/>
        <v>0</v>
      </c>
      <c r="L193" s="201">
        <f t="shared" si="16"/>
        <v>0</v>
      </c>
      <c r="M193" s="202">
        <f t="shared" si="17"/>
        <v>0</v>
      </c>
      <c r="N193" s="180"/>
      <c r="O193" s="202">
        <f t="shared" si="18"/>
        <v>0</v>
      </c>
      <c r="P193" s="203"/>
      <c r="Q193"/>
      <c r="R193"/>
      <c r="AG193" s="20" t="str">
        <f t="shared" si="14"/>
        <v/>
      </c>
      <c r="AH193" s="20" t="e">
        <f>+VLOOKUP(AG193,Catálogo!E:F,2,0)</f>
        <v>#N/A</v>
      </c>
      <c r="AI193" s="20" t="e">
        <f>+VLOOKUP(AG193,Catálogo!E:G,3,0)</f>
        <v>#N/A</v>
      </c>
    </row>
    <row r="194" spans="10:35">
      <c r="J194" s="194">
        <f t="shared" si="15"/>
        <v>0</v>
      </c>
      <c r="K194" s="201">
        <f t="shared" si="20"/>
        <v>0</v>
      </c>
      <c r="L194" s="201">
        <f t="shared" si="16"/>
        <v>0</v>
      </c>
      <c r="M194" s="202">
        <f t="shared" si="17"/>
        <v>0</v>
      </c>
      <c r="N194" s="180"/>
      <c r="O194" s="202">
        <f t="shared" si="18"/>
        <v>0</v>
      </c>
      <c r="P194" s="203"/>
      <c r="Q194"/>
      <c r="R194"/>
      <c r="AG194" s="20" t="str">
        <f t="shared" si="14"/>
        <v/>
      </c>
      <c r="AH194" s="20" t="e">
        <f>+VLOOKUP(AG194,Catálogo!E:F,2,0)</f>
        <v>#N/A</v>
      </c>
      <c r="AI194" s="20" t="e">
        <f>+VLOOKUP(AG194,Catálogo!E:G,3,0)</f>
        <v>#N/A</v>
      </c>
    </row>
    <row r="195" spans="10:35">
      <c r="J195" s="194">
        <f t="shared" si="15"/>
        <v>0</v>
      </c>
      <c r="K195" s="201">
        <f t="shared" si="20"/>
        <v>0</v>
      </c>
      <c r="L195" s="201">
        <f t="shared" si="16"/>
        <v>0</v>
      </c>
      <c r="M195" s="202">
        <f t="shared" si="17"/>
        <v>0</v>
      </c>
      <c r="N195" s="180"/>
      <c r="O195" s="202">
        <f t="shared" si="18"/>
        <v>0</v>
      </c>
      <c r="P195" s="203"/>
      <c r="Q195"/>
      <c r="R195"/>
      <c r="AG195" s="20" t="str">
        <f t="shared" ref="AG195:AG258" si="21">+CONCATENATE(S195,T195,V195)</f>
        <v/>
      </c>
      <c r="AH195" s="20" t="e">
        <f>+VLOOKUP(AG195,Catálogo!E:F,2,0)</f>
        <v>#N/A</v>
      </c>
      <c r="AI195" s="20" t="e">
        <f>+VLOOKUP(AG195,Catálogo!E:G,3,0)</f>
        <v>#N/A</v>
      </c>
    </row>
    <row r="196" spans="10:35">
      <c r="J196" s="194">
        <f t="shared" si="15"/>
        <v>0</v>
      </c>
      <c r="K196" s="201">
        <f t="shared" si="20"/>
        <v>0</v>
      </c>
      <c r="L196" s="201">
        <f t="shared" si="16"/>
        <v>0</v>
      </c>
      <c r="M196" s="202">
        <f t="shared" si="17"/>
        <v>0</v>
      </c>
      <c r="N196" s="180"/>
      <c r="O196" s="202">
        <f t="shared" si="18"/>
        <v>0</v>
      </c>
      <c r="P196" s="203"/>
      <c r="Q196"/>
      <c r="R196"/>
      <c r="AG196" s="20" t="str">
        <f t="shared" si="21"/>
        <v/>
      </c>
      <c r="AH196" s="20" t="e">
        <f>+VLOOKUP(AG196,Catálogo!E:F,2,0)</f>
        <v>#N/A</v>
      </c>
      <c r="AI196" s="20" t="e">
        <f>+VLOOKUP(AG196,Catálogo!E:G,3,0)</f>
        <v>#N/A</v>
      </c>
    </row>
    <row r="197" spans="10:35">
      <c r="J197" s="194">
        <f t="shared" si="15"/>
        <v>0</v>
      </c>
      <c r="K197" s="201">
        <f t="shared" si="20"/>
        <v>0</v>
      </c>
      <c r="L197" s="201">
        <f t="shared" si="16"/>
        <v>0</v>
      </c>
      <c r="M197" s="202">
        <f t="shared" si="17"/>
        <v>0</v>
      </c>
      <c r="N197" s="180"/>
      <c r="O197" s="202">
        <f t="shared" si="18"/>
        <v>0</v>
      </c>
      <c r="P197" s="203"/>
      <c r="Q197"/>
      <c r="R197"/>
      <c r="AG197" s="20" t="str">
        <f t="shared" si="21"/>
        <v/>
      </c>
      <c r="AH197" s="20" t="e">
        <f>+VLOOKUP(AG197,Catálogo!E:F,2,0)</f>
        <v>#N/A</v>
      </c>
      <c r="AI197" s="20" t="e">
        <f>+VLOOKUP(AG197,Catálogo!E:G,3,0)</f>
        <v>#N/A</v>
      </c>
    </row>
    <row r="198" spans="10:35">
      <c r="J198" s="194">
        <f t="shared" si="15"/>
        <v>0</v>
      </c>
      <c r="K198" s="201">
        <f t="shared" si="20"/>
        <v>0</v>
      </c>
      <c r="L198" s="201">
        <f t="shared" si="16"/>
        <v>0</v>
      </c>
      <c r="M198" s="202">
        <f t="shared" si="17"/>
        <v>0</v>
      </c>
      <c r="N198" s="180"/>
      <c r="O198" s="202">
        <f t="shared" si="18"/>
        <v>0</v>
      </c>
      <c r="P198" s="203"/>
      <c r="Q198"/>
      <c r="R198"/>
      <c r="AG198" s="20" t="str">
        <f t="shared" si="21"/>
        <v/>
      </c>
      <c r="AH198" s="20" t="e">
        <f>+VLOOKUP(AG198,Catálogo!E:F,2,0)</f>
        <v>#N/A</v>
      </c>
      <c r="AI198" s="20" t="e">
        <f>+VLOOKUP(AG198,Catálogo!E:G,3,0)</f>
        <v>#N/A</v>
      </c>
    </row>
    <row r="199" spans="10:35">
      <c r="J199" s="194">
        <f t="shared" si="15"/>
        <v>0</v>
      </c>
      <c r="K199" s="201">
        <f t="shared" si="20"/>
        <v>0</v>
      </c>
      <c r="L199" s="201">
        <f t="shared" si="16"/>
        <v>0</v>
      </c>
      <c r="M199" s="202">
        <f t="shared" si="17"/>
        <v>0</v>
      </c>
      <c r="N199" s="180"/>
      <c r="O199" s="202">
        <f t="shared" si="18"/>
        <v>0</v>
      </c>
      <c r="P199" s="203"/>
      <c r="Q199"/>
      <c r="R199"/>
      <c r="AG199" s="20" t="str">
        <f t="shared" si="21"/>
        <v/>
      </c>
      <c r="AH199" s="20" t="e">
        <f>+VLOOKUP(AG199,Catálogo!E:F,2,0)</f>
        <v>#N/A</v>
      </c>
      <c r="AI199" s="20" t="e">
        <f>+VLOOKUP(AG199,Catálogo!E:G,3,0)</f>
        <v>#N/A</v>
      </c>
    </row>
    <row r="200" spans="10:35">
      <c r="J200" s="194">
        <f t="shared" si="15"/>
        <v>0</v>
      </c>
      <c r="K200" s="201">
        <f t="shared" si="20"/>
        <v>0</v>
      </c>
      <c r="L200" s="201">
        <f t="shared" si="16"/>
        <v>0</v>
      </c>
      <c r="M200" s="202">
        <f t="shared" si="17"/>
        <v>0</v>
      </c>
      <c r="N200" s="180"/>
      <c r="O200" s="202">
        <f t="shared" si="18"/>
        <v>0</v>
      </c>
      <c r="P200" s="203"/>
      <c r="Q200"/>
      <c r="R200"/>
      <c r="AG200" s="20" t="str">
        <f t="shared" si="21"/>
        <v/>
      </c>
      <c r="AH200" s="20" t="e">
        <f>+VLOOKUP(AG200,Catálogo!E:F,2,0)</f>
        <v>#N/A</v>
      </c>
      <c r="AI200" s="20" t="e">
        <f>+VLOOKUP(AG200,Catálogo!E:G,3,0)</f>
        <v>#N/A</v>
      </c>
    </row>
    <row r="201" spans="10:35">
      <c r="J201" s="194">
        <f t="shared" si="15"/>
        <v>0</v>
      </c>
      <c r="K201" s="201">
        <f t="shared" si="20"/>
        <v>0</v>
      </c>
      <c r="L201" s="201">
        <f t="shared" si="16"/>
        <v>0</v>
      </c>
      <c r="M201" s="202">
        <f t="shared" si="17"/>
        <v>0</v>
      </c>
      <c r="N201" s="180"/>
      <c r="O201" s="202">
        <f t="shared" si="18"/>
        <v>0</v>
      </c>
      <c r="P201" s="203"/>
      <c r="Q201"/>
      <c r="R201"/>
      <c r="AG201" s="20" t="str">
        <f t="shared" si="21"/>
        <v/>
      </c>
      <c r="AH201" s="20" t="e">
        <f>+VLOOKUP(AG201,Catálogo!E:F,2,0)</f>
        <v>#N/A</v>
      </c>
      <c r="AI201" s="20" t="e">
        <f>+VLOOKUP(AG201,Catálogo!E:G,3,0)</f>
        <v>#N/A</v>
      </c>
    </row>
    <row r="202" spans="10:35">
      <c r="J202" s="194">
        <f t="shared" si="15"/>
        <v>0</v>
      </c>
      <c r="K202" s="201">
        <f t="shared" si="20"/>
        <v>0</v>
      </c>
      <c r="L202" s="201">
        <f t="shared" si="16"/>
        <v>0</v>
      </c>
      <c r="M202" s="202">
        <f t="shared" si="17"/>
        <v>0</v>
      </c>
      <c r="N202" s="180"/>
      <c r="O202" s="202">
        <f t="shared" si="18"/>
        <v>0</v>
      </c>
      <c r="P202" s="203"/>
      <c r="Q202"/>
      <c r="R202"/>
      <c r="AG202" s="20" t="str">
        <f t="shared" si="21"/>
        <v/>
      </c>
      <c r="AH202" s="20" t="e">
        <f>+VLOOKUP(AG202,Catálogo!E:F,2,0)</f>
        <v>#N/A</v>
      </c>
      <c r="AI202" s="20" t="e">
        <f>+VLOOKUP(AG202,Catálogo!E:G,3,0)</f>
        <v>#N/A</v>
      </c>
    </row>
    <row r="203" spans="10:35">
      <c r="J203" s="194">
        <f t="shared" si="15"/>
        <v>0</v>
      </c>
      <c r="K203" s="201">
        <f t="shared" si="20"/>
        <v>0</v>
      </c>
      <c r="L203" s="201">
        <f t="shared" si="16"/>
        <v>0</v>
      </c>
      <c r="M203" s="202">
        <f t="shared" si="17"/>
        <v>0</v>
      </c>
      <c r="N203" s="180"/>
      <c r="O203" s="202">
        <f t="shared" si="18"/>
        <v>0</v>
      </c>
      <c r="P203" s="203"/>
      <c r="Q203"/>
      <c r="R203"/>
      <c r="AG203" s="20" t="str">
        <f t="shared" si="21"/>
        <v/>
      </c>
      <c r="AH203" s="20" t="e">
        <f>+VLOOKUP(AG203,Catálogo!E:F,2,0)</f>
        <v>#N/A</v>
      </c>
      <c r="AI203" s="20" t="e">
        <f>+VLOOKUP(AG203,Catálogo!E:G,3,0)</f>
        <v>#N/A</v>
      </c>
    </row>
    <row r="204" spans="10:35">
      <c r="J204" s="194">
        <f t="shared" ref="J204:J251" si="22">+ROUND(H204/1000,0)</f>
        <v>0</v>
      </c>
      <c r="K204" s="201">
        <f t="shared" si="20"/>
        <v>0</v>
      </c>
      <c r="L204" s="201">
        <f t="shared" ref="L204:L253" si="23">+IFERROR(ABS(K204),"ok")</f>
        <v>0</v>
      </c>
      <c r="M204" s="202">
        <f t="shared" ref="M204:M253" si="24">+IF(L204="ok",J204,0)</f>
        <v>0</v>
      </c>
      <c r="N204" s="180"/>
      <c r="O204" s="202">
        <f t="shared" ref="O204:O253" si="25">+M204+N204</f>
        <v>0</v>
      </c>
      <c r="P204" s="203"/>
      <c r="Q204"/>
      <c r="R204"/>
      <c r="AG204" s="20" t="str">
        <f t="shared" si="21"/>
        <v/>
      </c>
      <c r="AH204" s="20" t="e">
        <f>+VLOOKUP(AG204,Catálogo!E:F,2,0)</f>
        <v>#N/A</v>
      </c>
      <c r="AI204" s="20" t="e">
        <f>+VLOOKUP(AG204,Catálogo!E:G,3,0)</f>
        <v>#N/A</v>
      </c>
    </row>
    <row r="205" spans="10:35">
      <c r="J205" s="194">
        <f t="shared" si="22"/>
        <v>0</v>
      </c>
      <c r="K205" s="201">
        <f t="shared" ref="K205:K253" si="26">+IFERROR(LEFT(AH205,3),0)</f>
        <v>0</v>
      </c>
      <c r="L205" s="201">
        <f t="shared" si="23"/>
        <v>0</v>
      </c>
      <c r="M205" s="202">
        <f t="shared" si="24"/>
        <v>0</v>
      </c>
      <c r="N205" s="180"/>
      <c r="O205" s="202">
        <f t="shared" si="25"/>
        <v>0</v>
      </c>
      <c r="P205" s="203"/>
      <c r="Q205"/>
      <c r="R205"/>
      <c r="AG205" s="20" t="str">
        <f t="shared" si="21"/>
        <v/>
      </c>
      <c r="AH205" s="20" t="e">
        <f>+VLOOKUP(AG205,Catálogo!E:F,2,0)</f>
        <v>#N/A</v>
      </c>
      <c r="AI205" s="20" t="e">
        <f>+VLOOKUP(AG205,Catálogo!E:G,3,0)</f>
        <v>#N/A</v>
      </c>
    </row>
    <row r="206" spans="10:35">
      <c r="J206" s="194">
        <f t="shared" si="22"/>
        <v>0</v>
      </c>
      <c r="K206" s="201">
        <f t="shared" si="26"/>
        <v>0</v>
      </c>
      <c r="L206" s="201">
        <f t="shared" si="23"/>
        <v>0</v>
      </c>
      <c r="M206" s="202">
        <f t="shared" si="24"/>
        <v>0</v>
      </c>
      <c r="N206" s="180"/>
      <c r="O206" s="202">
        <f t="shared" si="25"/>
        <v>0</v>
      </c>
      <c r="P206" s="203"/>
      <c r="Q206"/>
      <c r="R206"/>
      <c r="AG206" s="20" t="str">
        <f t="shared" si="21"/>
        <v/>
      </c>
      <c r="AH206" s="20" t="e">
        <f>+VLOOKUP(AG206,Catálogo!E:F,2,0)</f>
        <v>#N/A</v>
      </c>
      <c r="AI206" s="20" t="e">
        <f>+VLOOKUP(AG206,Catálogo!E:G,3,0)</f>
        <v>#N/A</v>
      </c>
    </row>
    <row r="207" spans="10:35">
      <c r="J207" s="194">
        <f t="shared" si="22"/>
        <v>0</v>
      </c>
      <c r="K207" s="201">
        <f t="shared" si="26"/>
        <v>0</v>
      </c>
      <c r="L207" s="201">
        <f t="shared" si="23"/>
        <v>0</v>
      </c>
      <c r="M207" s="202">
        <f t="shared" si="24"/>
        <v>0</v>
      </c>
      <c r="N207" s="180"/>
      <c r="O207" s="202">
        <f t="shared" si="25"/>
        <v>0</v>
      </c>
      <c r="P207" s="203"/>
      <c r="Q207"/>
      <c r="R207"/>
      <c r="AG207" s="20" t="str">
        <f t="shared" si="21"/>
        <v/>
      </c>
      <c r="AH207" s="20" t="e">
        <f>+VLOOKUP(AG207,Catálogo!E:F,2,0)</f>
        <v>#N/A</v>
      </c>
      <c r="AI207" s="20" t="e">
        <f>+VLOOKUP(AG207,Catálogo!E:G,3,0)</f>
        <v>#N/A</v>
      </c>
    </row>
    <row r="208" spans="10:35">
      <c r="J208" s="194">
        <f t="shared" si="22"/>
        <v>0</v>
      </c>
      <c r="K208" s="201">
        <f t="shared" si="26"/>
        <v>0</v>
      </c>
      <c r="L208" s="201">
        <f t="shared" si="23"/>
        <v>0</v>
      </c>
      <c r="M208" s="202">
        <f t="shared" si="24"/>
        <v>0</v>
      </c>
      <c r="N208" s="180"/>
      <c r="O208" s="202">
        <f t="shared" si="25"/>
        <v>0</v>
      </c>
      <c r="P208" s="203"/>
      <c r="Q208"/>
      <c r="R208"/>
      <c r="AG208" s="20" t="str">
        <f t="shared" si="21"/>
        <v/>
      </c>
      <c r="AH208" s="20" t="e">
        <f>+VLOOKUP(AG208,Catálogo!E:F,2,0)</f>
        <v>#N/A</v>
      </c>
      <c r="AI208" s="20" t="e">
        <f>+VLOOKUP(AG208,Catálogo!E:G,3,0)</f>
        <v>#N/A</v>
      </c>
    </row>
    <row r="209" spans="10:35">
      <c r="J209" s="194">
        <f t="shared" si="22"/>
        <v>0</v>
      </c>
      <c r="K209" s="201">
        <f t="shared" si="26"/>
        <v>0</v>
      </c>
      <c r="L209" s="201">
        <f t="shared" si="23"/>
        <v>0</v>
      </c>
      <c r="M209" s="202">
        <f t="shared" si="24"/>
        <v>0</v>
      </c>
      <c r="N209" s="180"/>
      <c r="O209" s="202">
        <f t="shared" si="25"/>
        <v>0</v>
      </c>
      <c r="P209" s="203"/>
      <c r="Q209"/>
      <c r="R209"/>
      <c r="AG209" s="20" t="str">
        <f t="shared" si="21"/>
        <v/>
      </c>
      <c r="AH209" s="20" t="e">
        <f>+VLOOKUP(AG209,Catálogo!E:F,2,0)</f>
        <v>#N/A</v>
      </c>
      <c r="AI209" s="20" t="e">
        <f>+VLOOKUP(AG209,Catálogo!E:G,3,0)</f>
        <v>#N/A</v>
      </c>
    </row>
    <row r="210" spans="10:35">
      <c r="J210" s="194">
        <f t="shared" si="22"/>
        <v>0</v>
      </c>
      <c r="K210" s="201">
        <f t="shared" si="26"/>
        <v>0</v>
      </c>
      <c r="L210" s="201">
        <f t="shared" si="23"/>
        <v>0</v>
      </c>
      <c r="M210" s="202">
        <f t="shared" si="24"/>
        <v>0</v>
      </c>
      <c r="N210" s="180"/>
      <c r="O210" s="202">
        <f t="shared" si="25"/>
        <v>0</v>
      </c>
      <c r="P210" s="203"/>
      <c r="Q210"/>
      <c r="R210"/>
      <c r="AG210" s="20" t="str">
        <f t="shared" si="21"/>
        <v/>
      </c>
      <c r="AH210" s="20" t="e">
        <f>+VLOOKUP(AG210,Catálogo!E:F,2,0)</f>
        <v>#N/A</v>
      </c>
      <c r="AI210" s="20" t="e">
        <f>+VLOOKUP(AG210,Catálogo!E:G,3,0)</f>
        <v>#N/A</v>
      </c>
    </row>
    <row r="211" spans="10:35">
      <c r="J211" s="194">
        <f t="shared" si="22"/>
        <v>0</v>
      </c>
      <c r="K211" s="201">
        <f t="shared" si="26"/>
        <v>0</v>
      </c>
      <c r="L211" s="201">
        <f t="shared" si="23"/>
        <v>0</v>
      </c>
      <c r="M211" s="202">
        <f t="shared" si="24"/>
        <v>0</v>
      </c>
      <c r="N211" s="180"/>
      <c r="O211" s="202">
        <f t="shared" si="25"/>
        <v>0</v>
      </c>
      <c r="P211" s="203"/>
      <c r="Q211"/>
      <c r="R211"/>
      <c r="AG211" s="20" t="str">
        <f t="shared" si="21"/>
        <v/>
      </c>
      <c r="AH211" s="20" t="e">
        <f>+VLOOKUP(AG211,Catálogo!E:F,2,0)</f>
        <v>#N/A</v>
      </c>
      <c r="AI211" s="20" t="e">
        <f>+VLOOKUP(AG211,Catálogo!E:G,3,0)</f>
        <v>#N/A</v>
      </c>
    </row>
    <row r="212" spans="10:35">
      <c r="J212" s="194">
        <f t="shared" si="22"/>
        <v>0</v>
      </c>
      <c r="K212" s="201">
        <f t="shared" si="26"/>
        <v>0</v>
      </c>
      <c r="L212" s="201">
        <f t="shared" si="23"/>
        <v>0</v>
      </c>
      <c r="M212" s="202">
        <f t="shared" si="24"/>
        <v>0</v>
      </c>
      <c r="N212" s="180"/>
      <c r="O212" s="202">
        <f t="shared" si="25"/>
        <v>0</v>
      </c>
      <c r="P212" s="203"/>
      <c r="Q212"/>
      <c r="R212"/>
      <c r="AG212" s="20" t="str">
        <f t="shared" si="21"/>
        <v/>
      </c>
      <c r="AH212" s="20" t="e">
        <f>+VLOOKUP(AG212,Catálogo!E:F,2,0)</f>
        <v>#N/A</v>
      </c>
      <c r="AI212" s="20" t="e">
        <f>+VLOOKUP(AG212,Catálogo!E:G,3,0)</f>
        <v>#N/A</v>
      </c>
    </row>
    <row r="213" spans="10:35">
      <c r="J213" s="194">
        <f t="shared" si="22"/>
        <v>0</v>
      </c>
      <c r="K213" s="201">
        <f t="shared" si="26"/>
        <v>0</v>
      </c>
      <c r="L213" s="201">
        <f t="shared" si="23"/>
        <v>0</v>
      </c>
      <c r="M213" s="202">
        <f t="shared" si="24"/>
        <v>0</v>
      </c>
      <c r="N213" s="180"/>
      <c r="O213" s="202">
        <f t="shared" si="25"/>
        <v>0</v>
      </c>
      <c r="P213" s="203"/>
      <c r="Q213"/>
      <c r="R213"/>
      <c r="AG213" s="20" t="str">
        <f t="shared" si="21"/>
        <v/>
      </c>
      <c r="AH213" s="20" t="e">
        <f>+VLOOKUP(AG213,Catálogo!E:F,2,0)</f>
        <v>#N/A</v>
      </c>
      <c r="AI213" s="20" t="e">
        <f>+VLOOKUP(AG213,Catálogo!E:G,3,0)</f>
        <v>#N/A</v>
      </c>
    </row>
    <row r="214" spans="10:35">
      <c r="J214" s="194">
        <f t="shared" si="22"/>
        <v>0</v>
      </c>
      <c r="K214" s="201">
        <f t="shared" si="26"/>
        <v>0</v>
      </c>
      <c r="L214" s="201">
        <f t="shared" si="23"/>
        <v>0</v>
      </c>
      <c r="M214" s="202">
        <f t="shared" si="24"/>
        <v>0</v>
      </c>
      <c r="N214" s="180"/>
      <c r="O214" s="202">
        <f t="shared" si="25"/>
        <v>0</v>
      </c>
      <c r="P214" s="203"/>
      <c r="Q214"/>
      <c r="R214"/>
      <c r="AG214" s="20" t="str">
        <f t="shared" si="21"/>
        <v/>
      </c>
      <c r="AH214" s="20" t="e">
        <f>+VLOOKUP(AG214,Catálogo!E:F,2,0)</f>
        <v>#N/A</v>
      </c>
      <c r="AI214" s="20" t="e">
        <f>+VLOOKUP(AG214,Catálogo!E:G,3,0)</f>
        <v>#N/A</v>
      </c>
    </row>
    <row r="215" spans="10:35">
      <c r="J215" s="194">
        <f t="shared" si="22"/>
        <v>0</v>
      </c>
      <c r="K215" s="201">
        <f t="shared" si="26"/>
        <v>0</v>
      </c>
      <c r="L215" s="201">
        <f t="shared" si="23"/>
        <v>0</v>
      </c>
      <c r="M215" s="202">
        <f t="shared" si="24"/>
        <v>0</v>
      </c>
      <c r="N215" s="180"/>
      <c r="O215" s="202">
        <f t="shared" si="25"/>
        <v>0</v>
      </c>
      <c r="P215" s="203"/>
      <c r="Q215"/>
      <c r="R215"/>
      <c r="AG215" s="20" t="str">
        <f t="shared" si="21"/>
        <v/>
      </c>
      <c r="AH215" s="20" t="e">
        <f>+VLOOKUP(AG215,Catálogo!E:F,2,0)</f>
        <v>#N/A</v>
      </c>
      <c r="AI215" s="20" t="e">
        <f>+VLOOKUP(AG215,Catálogo!E:G,3,0)</f>
        <v>#N/A</v>
      </c>
    </row>
    <row r="216" spans="10:35">
      <c r="J216" s="194">
        <f t="shared" si="22"/>
        <v>0</v>
      </c>
      <c r="K216" s="201">
        <f t="shared" si="26"/>
        <v>0</v>
      </c>
      <c r="L216" s="201">
        <f t="shared" si="23"/>
        <v>0</v>
      </c>
      <c r="M216" s="202">
        <f t="shared" si="24"/>
        <v>0</v>
      </c>
      <c r="N216" s="180"/>
      <c r="O216" s="202">
        <f t="shared" si="25"/>
        <v>0</v>
      </c>
      <c r="P216" s="203"/>
      <c r="Q216"/>
      <c r="R216"/>
      <c r="AG216" s="20" t="str">
        <f t="shared" si="21"/>
        <v/>
      </c>
      <c r="AH216" s="20" t="e">
        <f>+VLOOKUP(AG216,Catálogo!E:F,2,0)</f>
        <v>#N/A</v>
      </c>
      <c r="AI216" s="20" t="e">
        <f>+VLOOKUP(AG216,Catálogo!E:G,3,0)</f>
        <v>#N/A</v>
      </c>
    </row>
    <row r="217" spans="10:35">
      <c r="J217" s="194">
        <f t="shared" si="22"/>
        <v>0</v>
      </c>
      <c r="K217" s="201">
        <f t="shared" si="26"/>
        <v>0</v>
      </c>
      <c r="L217" s="201">
        <f t="shared" si="23"/>
        <v>0</v>
      </c>
      <c r="M217" s="202">
        <f t="shared" si="24"/>
        <v>0</v>
      </c>
      <c r="N217" s="180"/>
      <c r="O217" s="202">
        <f t="shared" si="25"/>
        <v>0</v>
      </c>
      <c r="P217" s="203"/>
      <c r="Q217"/>
      <c r="R217"/>
      <c r="AG217" s="20" t="str">
        <f t="shared" si="21"/>
        <v/>
      </c>
      <c r="AH217" s="20" t="e">
        <f>+VLOOKUP(AG217,Catálogo!E:F,2,0)</f>
        <v>#N/A</v>
      </c>
      <c r="AI217" s="20" t="e">
        <f>+VLOOKUP(AG217,Catálogo!E:G,3,0)</f>
        <v>#N/A</v>
      </c>
    </row>
    <row r="218" spans="10:35">
      <c r="J218" s="194">
        <f t="shared" si="22"/>
        <v>0</v>
      </c>
      <c r="K218" s="201">
        <f t="shared" si="26"/>
        <v>0</v>
      </c>
      <c r="L218" s="201">
        <f t="shared" si="23"/>
        <v>0</v>
      </c>
      <c r="M218" s="202">
        <f t="shared" si="24"/>
        <v>0</v>
      </c>
      <c r="N218" s="180"/>
      <c r="O218" s="202">
        <f t="shared" si="25"/>
        <v>0</v>
      </c>
      <c r="P218" s="203"/>
      <c r="Q218"/>
      <c r="R218"/>
      <c r="AG218" s="20" t="str">
        <f t="shared" si="21"/>
        <v/>
      </c>
      <c r="AH218" s="20" t="e">
        <f>+VLOOKUP(AG218,Catálogo!E:F,2,0)</f>
        <v>#N/A</v>
      </c>
      <c r="AI218" s="20" t="e">
        <f>+VLOOKUP(AG218,Catálogo!E:G,3,0)</f>
        <v>#N/A</v>
      </c>
    </row>
    <row r="219" spans="10:35">
      <c r="J219" s="194">
        <f t="shared" si="22"/>
        <v>0</v>
      </c>
      <c r="K219" s="201">
        <f t="shared" si="26"/>
        <v>0</v>
      </c>
      <c r="L219" s="201">
        <f t="shared" si="23"/>
        <v>0</v>
      </c>
      <c r="M219" s="202">
        <f t="shared" si="24"/>
        <v>0</v>
      </c>
      <c r="N219" s="180"/>
      <c r="O219" s="202">
        <f t="shared" si="25"/>
        <v>0</v>
      </c>
      <c r="P219" s="203"/>
      <c r="Q219"/>
      <c r="R219"/>
      <c r="AG219" s="20" t="str">
        <f t="shared" si="21"/>
        <v/>
      </c>
      <c r="AH219" s="20" t="e">
        <f>+VLOOKUP(AG219,Catálogo!E:F,2,0)</f>
        <v>#N/A</v>
      </c>
      <c r="AI219" s="20" t="e">
        <f>+VLOOKUP(AG219,Catálogo!E:G,3,0)</f>
        <v>#N/A</v>
      </c>
    </row>
    <row r="220" spans="10:35">
      <c r="J220" s="194">
        <f t="shared" si="22"/>
        <v>0</v>
      </c>
      <c r="K220" s="201">
        <f t="shared" si="26"/>
        <v>0</v>
      </c>
      <c r="L220" s="201">
        <f t="shared" si="23"/>
        <v>0</v>
      </c>
      <c r="M220" s="202">
        <f t="shared" si="24"/>
        <v>0</v>
      </c>
      <c r="N220" s="180"/>
      <c r="O220" s="202">
        <f t="shared" si="25"/>
        <v>0</v>
      </c>
      <c r="P220" s="203"/>
      <c r="Q220"/>
      <c r="R220"/>
      <c r="AG220" s="20" t="str">
        <f t="shared" si="21"/>
        <v/>
      </c>
      <c r="AH220" s="20" t="e">
        <f>+VLOOKUP(AG220,Catálogo!E:F,2,0)</f>
        <v>#N/A</v>
      </c>
      <c r="AI220" s="20" t="e">
        <f>+VLOOKUP(AG220,Catálogo!E:G,3,0)</f>
        <v>#N/A</v>
      </c>
    </row>
    <row r="221" spans="10:35">
      <c r="J221" s="194">
        <f t="shared" si="22"/>
        <v>0</v>
      </c>
      <c r="K221" s="201">
        <f t="shared" si="26"/>
        <v>0</v>
      </c>
      <c r="L221" s="201">
        <f t="shared" si="23"/>
        <v>0</v>
      </c>
      <c r="M221" s="202">
        <f t="shared" si="24"/>
        <v>0</v>
      </c>
      <c r="N221" s="180"/>
      <c r="O221" s="202">
        <f t="shared" si="25"/>
        <v>0</v>
      </c>
      <c r="P221" s="203"/>
      <c r="Q221"/>
      <c r="R221"/>
      <c r="AG221" s="20" t="str">
        <f t="shared" si="21"/>
        <v/>
      </c>
      <c r="AH221" s="20" t="e">
        <f>+VLOOKUP(AG221,Catálogo!E:F,2,0)</f>
        <v>#N/A</v>
      </c>
      <c r="AI221" s="20" t="e">
        <f>+VLOOKUP(AG221,Catálogo!E:G,3,0)</f>
        <v>#N/A</v>
      </c>
    </row>
    <row r="222" spans="10:35">
      <c r="J222" s="194">
        <f t="shared" si="22"/>
        <v>0</v>
      </c>
      <c r="K222" s="201">
        <f t="shared" si="26"/>
        <v>0</v>
      </c>
      <c r="L222" s="201">
        <f t="shared" si="23"/>
        <v>0</v>
      </c>
      <c r="M222" s="202">
        <f t="shared" si="24"/>
        <v>0</v>
      </c>
      <c r="N222" s="180"/>
      <c r="O222" s="202">
        <f t="shared" si="25"/>
        <v>0</v>
      </c>
      <c r="P222" s="203"/>
      <c r="Q222"/>
      <c r="R222"/>
      <c r="AG222" s="20" t="str">
        <f t="shared" si="21"/>
        <v/>
      </c>
      <c r="AH222" s="20" t="e">
        <f>+VLOOKUP(AG222,Catálogo!E:F,2,0)</f>
        <v>#N/A</v>
      </c>
      <c r="AI222" s="20" t="e">
        <f>+VLOOKUP(AG222,Catálogo!E:G,3,0)</f>
        <v>#N/A</v>
      </c>
    </row>
    <row r="223" spans="10:35">
      <c r="J223" s="194">
        <f t="shared" si="22"/>
        <v>0</v>
      </c>
      <c r="K223" s="201">
        <f t="shared" si="26"/>
        <v>0</v>
      </c>
      <c r="L223" s="201">
        <f t="shared" si="23"/>
        <v>0</v>
      </c>
      <c r="M223" s="202">
        <f t="shared" si="24"/>
        <v>0</v>
      </c>
      <c r="N223" s="180"/>
      <c r="O223" s="202">
        <f t="shared" si="25"/>
        <v>0</v>
      </c>
      <c r="P223" s="203"/>
      <c r="Q223"/>
      <c r="R223"/>
      <c r="AG223" s="20" t="str">
        <f t="shared" si="21"/>
        <v/>
      </c>
      <c r="AH223" s="20" t="e">
        <f>+VLOOKUP(AG223,Catálogo!E:F,2,0)</f>
        <v>#N/A</v>
      </c>
      <c r="AI223" s="20" t="e">
        <f>+VLOOKUP(AG223,Catálogo!E:G,3,0)</f>
        <v>#N/A</v>
      </c>
    </row>
    <row r="224" spans="10:35">
      <c r="J224" s="194">
        <f t="shared" si="22"/>
        <v>0</v>
      </c>
      <c r="K224" s="201">
        <f t="shared" si="26"/>
        <v>0</v>
      </c>
      <c r="L224" s="201">
        <f t="shared" si="23"/>
        <v>0</v>
      </c>
      <c r="M224" s="202">
        <f t="shared" si="24"/>
        <v>0</v>
      </c>
      <c r="N224" s="180"/>
      <c r="O224" s="202">
        <f t="shared" si="25"/>
        <v>0</v>
      </c>
      <c r="P224" s="203"/>
      <c r="Q224"/>
      <c r="R224"/>
      <c r="AG224" s="20" t="str">
        <f t="shared" si="21"/>
        <v/>
      </c>
      <c r="AH224" s="20" t="e">
        <f>+VLOOKUP(AG224,Catálogo!E:F,2,0)</f>
        <v>#N/A</v>
      </c>
      <c r="AI224" s="20" t="e">
        <f>+VLOOKUP(AG224,Catálogo!E:G,3,0)</f>
        <v>#N/A</v>
      </c>
    </row>
    <row r="225" spans="10:35">
      <c r="J225" s="194">
        <f t="shared" si="22"/>
        <v>0</v>
      </c>
      <c r="K225" s="201">
        <f t="shared" si="26"/>
        <v>0</v>
      </c>
      <c r="L225" s="201">
        <f t="shared" si="23"/>
        <v>0</v>
      </c>
      <c r="M225" s="202">
        <f t="shared" si="24"/>
        <v>0</v>
      </c>
      <c r="N225" s="180"/>
      <c r="O225" s="202">
        <f t="shared" si="25"/>
        <v>0</v>
      </c>
      <c r="P225" s="203"/>
      <c r="Q225"/>
      <c r="R225"/>
      <c r="AG225" s="20" t="str">
        <f t="shared" si="21"/>
        <v/>
      </c>
      <c r="AH225" s="20" t="e">
        <f>+VLOOKUP(AG225,Catálogo!E:F,2,0)</f>
        <v>#N/A</v>
      </c>
      <c r="AI225" s="20" t="e">
        <f>+VLOOKUP(AG225,Catálogo!E:G,3,0)</f>
        <v>#N/A</v>
      </c>
    </row>
    <row r="226" spans="10:35">
      <c r="J226" s="194">
        <f t="shared" si="22"/>
        <v>0</v>
      </c>
      <c r="K226" s="201">
        <f t="shared" si="26"/>
        <v>0</v>
      </c>
      <c r="L226" s="201">
        <f t="shared" si="23"/>
        <v>0</v>
      </c>
      <c r="M226" s="202">
        <f t="shared" si="24"/>
        <v>0</v>
      </c>
      <c r="N226" s="180"/>
      <c r="O226" s="202">
        <f t="shared" si="25"/>
        <v>0</v>
      </c>
      <c r="P226" s="203"/>
      <c r="Q226"/>
      <c r="R226"/>
      <c r="AG226" s="20" t="str">
        <f t="shared" si="21"/>
        <v/>
      </c>
      <c r="AH226" s="20" t="e">
        <f>+VLOOKUP(AG226,Catálogo!E:F,2,0)</f>
        <v>#N/A</v>
      </c>
      <c r="AI226" s="20" t="e">
        <f>+VLOOKUP(AG226,Catálogo!E:G,3,0)</f>
        <v>#N/A</v>
      </c>
    </row>
    <row r="227" spans="10:35">
      <c r="J227" s="194">
        <f t="shared" si="22"/>
        <v>0</v>
      </c>
      <c r="K227" s="201">
        <f t="shared" si="26"/>
        <v>0</v>
      </c>
      <c r="L227" s="201">
        <f t="shared" si="23"/>
        <v>0</v>
      </c>
      <c r="M227" s="202">
        <f t="shared" si="24"/>
        <v>0</v>
      </c>
      <c r="N227" s="180"/>
      <c r="O227" s="202">
        <f t="shared" si="25"/>
        <v>0</v>
      </c>
      <c r="P227" s="203"/>
      <c r="Q227"/>
      <c r="R227"/>
      <c r="AG227" s="20" t="str">
        <f t="shared" si="21"/>
        <v/>
      </c>
      <c r="AH227" s="20" t="e">
        <f>+VLOOKUP(AG227,Catálogo!E:F,2,0)</f>
        <v>#N/A</v>
      </c>
      <c r="AI227" s="20" t="e">
        <f>+VLOOKUP(AG227,Catálogo!E:G,3,0)</f>
        <v>#N/A</v>
      </c>
    </row>
    <row r="228" spans="10:35">
      <c r="J228" s="194">
        <f t="shared" si="22"/>
        <v>0</v>
      </c>
      <c r="K228" s="201">
        <f t="shared" si="26"/>
        <v>0</v>
      </c>
      <c r="L228" s="201">
        <f t="shared" si="23"/>
        <v>0</v>
      </c>
      <c r="M228" s="202">
        <f t="shared" si="24"/>
        <v>0</v>
      </c>
      <c r="N228" s="180"/>
      <c r="O228" s="202">
        <f t="shared" si="25"/>
        <v>0</v>
      </c>
      <c r="P228" s="203"/>
      <c r="Q228"/>
      <c r="R228"/>
      <c r="AG228" s="20" t="str">
        <f t="shared" si="21"/>
        <v/>
      </c>
      <c r="AH228" s="20" t="e">
        <f>+VLOOKUP(AG228,Catálogo!E:F,2,0)</f>
        <v>#N/A</v>
      </c>
      <c r="AI228" s="20" t="e">
        <f>+VLOOKUP(AG228,Catálogo!E:G,3,0)</f>
        <v>#N/A</v>
      </c>
    </row>
    <row r="229" spans="10:35">
      <c r="J229" s="194">
        <f t="shared" si="22"/>
        <v>0</v>
      </c>
      <c r="K229" s="201">
        <f t="shared" si="26"/>
        <v>0</v>
      </c>
      <c r="L229" s="201">
        <f t="shared" si="23"/>
        <v>0</v>
      </c>
      <c r="M229" s="202">
        <f t="shared" si="24"/>
        <v>0</v>
      </c>
      <c r="N229" s="180"/>
      <c r="O229" s="202">
        <f t="shared" si="25"/>
        <v>0</v>
      </c>
      <c r="P229" s="203"/>
      <c r="Q229"/>
      <c r="R229"/>
      <c r="AG229" s="20" t="str">
        <f t="shared" si="21"/>
        <v/>
      </c>
      <c r="AH229" s="20" t="e">
        <f>+VLOOKUP(AG229,Catálogo!E:F,2,0)</f>
        <v>#N/A</v>
      </c>
      <c r="AI229" s="20" t="e">
        <f>+VLOOKUP(AG229,Catálogo!E:G,3,0)</f>
        <v>#N/A</v>
      </c>
    </row>
    <row r="230" spans="10:35">
      <c r="J230" s="194">
        <f t="shared" si="22"/>
        <v>0</v>
      </c>
      <c r="K230" s="201">
        <f t="shared" si="26"/>
        <v>0</v>
      </c>
      <c r="L230" s="201">
        <f t="shared" si="23"/>
        <v>0</v>
      </c>
      <c r="M230" s="202">
        <f t="shared" si="24"/>
        <v>0</v>
      </c>
      <c r="N230" s="180"/>
      <c r="O230" s="202">
        <f t="shared" si="25"/>
        <v>0</v>
      </c>
      <c r="P230" s="203"/>
      <c r="Q230"/>
      <c r="R230"/>
      <c r="AG230" s="20" t="str">
        <f t="shared" si="21"/>
        <v/>
      </c>
      <c r="AH230" s="20" t="e">
        <f>+VLOOKUP(AG230,Catálogo!E:F,2,0)</f>
        <v>#N/A</v>
      </c>
      <c r="AI230" s="20" t="e">
        <f>+VLOOKUP(AG230,Catálogo!E:G,3,0)</f>
        <v>#N/A</v>
      </c>
    </row>
    <row r="231" spans="10:35">
      <c r="J231" s="194">
        <f t="shared" si="22"/>
        <v>0</v>
      </c>
      <c r="K231" s="201">
        <f t="shared" si="26"/>
        <v>0</v>
      </c>
      <c r="L231" s="201">
        <f t="shared" si="23"/>
        <v>0</v>
      </c>
      <c r="M231" s="202">
        <f t="shared" si="24"/>
        <v>0</v>
      </c>
      <c r="N231" s="180"/>
      <c r="O231" s="202">
        <f t="shared" si="25"/>
        <v>0</v>
      </c>
      <c r="P231" s="203"/>
      <c r="Q231"/>
      <c r="R231"/>
      <c r="AG231" s="20" t="str">
        <f t="shared" si="21"/>
        <v/>
      </c>
      <c r="AH231" s="20" t="e">
        <f>+VLOOKUP(AG231,Catálogo!E:F,2,0)</f>
        <v>#N/A</v>
      </c>
      <c r="AI231" s="20" t="e">
        <f>+VLOOKUP(AG231,Catálogo!E:G,3,0)</f>
        <v>#N/A</v>
      </c>
    </row>
    <row r="232" spans="10:35">
      <c r="J232" s="194">
        <f t="shared" si="22"/>
        <v>0</v>
      </c>
      <c r="K232" s="201">
        <f t="shared" si="26"/>
        <v>0</v>
      </c>
      <c r="L232" s="201">
        <f t="shared" si="23"/>
        <v>0</v>
      </c>
      <c r="M232" s="202">
        <f t="shared" si="24"/>
        <v>0</v>
      </c>
      <c r="N232" s="180"/>
      <c r="O232" s="202">
        <f t="shared" si="25"/>
        <v>0</v>
      </c>
      <c r="P232" s="203"/>
      <c r="Q232"/>
      <c r="R232"/>
      <c r="AG232" s="20" t="str">
        <f t="shared" si="21"/>
        <v/>
      </c>
      <c r="AH232" s="20" t="e">
        <f>+VLOOKUP(AG232,Catálogo!E:F,2,0)</f>
        <v>#N/A</v>
      </c>
      <c r="AI232" s="20" t="e">
        <f>+VLOOKUP(AG232,Catálogo!E:G,3,0)</f>
        <v>#N/A</v>
      </c>
    </row>
    <row r="233" spans="10:35">
      <c r="J233" s="194">
        <f t="shared" si="22"/>
        <v>0</v>
      </c>
      <c r="K233" s="201">
        <f t="shared" si="26"/>
        <v>0</v>
      </c>
      <c r="L233" s="201">
        <f t="shared" si="23"/>
        <v>0</v>
      </c>
      <c r="M233" s="202">
        <f t="shared" si="24"/>
        <v>0</v>
      </c>
      <c r="N233" s="180"/>
      <c r="O233" s="202">
        <f t="shared" si="25"/>
        <v>0</v>
      </c>
      <c r="P233" s="203"/>
      <c r="Q233"/>
      <c r="R233"/>
      <c r="AG233" s="20" t="str">
        <f t="shared" si="21"/>
        <v/>
      </c>
      <c r="AH233" s="20" t="e">
        <f>+VLOOKUP(AG233,Catálogo!E:F,2,0)</f>
        <v>#N/A</v>
      </c>
      <c r="AI233" s="20" t="e">
        <f>+VLOOKUP(AG233,Catálogo!E:G,3,0)</f>
        <v>#N/A</v>
      </c>
    </row>
    <row r="234" spans="10:35">
      <c r="J234" s="194">
        <f t="shared" si="22"/>
        <v>0</v>
      </c>
      <c r="K234" s="201">
        <f t="shared" si="26"/>
        <v>0</v>
      </c>
      <c r="L234" s="201">
        <f t="shared" si="23"/>
        <v>0</v>
      </c>
      <c r="M234" s="202">
        <f t="shared" si="24"/>
        <v>0</v>
      </c>
      <c r="N234" s="180"/>
      <c r="O234" s="202">
        <f t="shared" si="25"/>
        <v>0</v>
      </c>
      <c r="P234" s="203"/>
      <c r="Q234"/>
      <c r="R234"/>
      <c r="AG234" s="20" t="str">
        <f t="shared" si="21"/>
        <v/>
      </c>
      <c r="AH234" s="20" t="e">
        <f>+VLOOKUP(AG234,Catálogo!E:F,2,0)</f>
        <v>#N/A</v>
      </c>
      <c r="AI234" s="20" t="e">
        <f>+VLOOKUP(AG234,Catálogo!E:G,3,0)</f>
        <v>#N/A</v>
      </c>
    </row>
    <row r="235" spans="10:35">
      <c r="J235" s="194">
        <f t="shared" si="22"/>
        <v>0</v>
      </c>
      <c r="K235" s="201">
        <f t="shared" si="26"/>
        <v>0</v>
      </c>
      <c r="L235" s="201">
        <f t="shared" si="23"/>
        <v>0</v>
      </c>
      <c r="M235" s="202">
        <f t="shared" si="24"/>
        <v>0</v>
      </c>
      <c r="N235" s="180"/>
      <c r="O235" s="202">
        <f t="shared" si="25"/>
        <v>0</v>
      </c>
      <c r="P235" s="203"/>
      <c r="Q235"/>
      <c r="R235"/>
      <c r="AG235" s="20" t="str">
        <f t="shared" si="21"/>
        <v/>
      </c>
      <c r="AH235" s="20" t="e">
        <f>+VLOOKUP(AG235,Catálogo!E:F,2,0)</f>
        <v>#N/A</v>
      </c>
      <c r="AI235" s="20" t="e">
        <f>+VLOOKUP(AG235,Catálogo!E:G,3,0)</f>
        <v>#N/A</v>
      </c>
    </row>
    <row r="236" spans="10:35">
      <c r="J236" s="194">
        <f t="shared" si="22"/>
        <v>0</v>
      </c>
      <c r="K236" s="201">
        <f t="shared" si="26"/>
        <v>0</v>
      </c>
      <c r="L236" s="201">
        <f t="shared" si="23"/>
        <v>0</v>
      </c>
      <c r="M236" s="202">
        <f t="shared" si="24"/>
        <v>0</v>
      </c>
      <c r="N236" s="180"/>
      <c r="O236" s="202">
        <f t="shared" si="25"/>
        <v>0</v>
      </c>
      <c r="P236" s="203"/>
      <c r="Q236"/>
      <c r="R236"/>
      <c r="AG236" s="20" t="str">
        <f t="shared" si="21"/>
        <v/>
      </c>
      <c r="AH236" s="20" t="e">
        <f>+VLOOKUP(AG236,Catálogo!E:F,2,0)</f>
        <v>#N/A</v>
      </c>
      <c r="AI236" s="20" t="e">
        <f>+VLOOKUP(AG236,Catálogo!E:G,3,0)</f>
        <v>#N/A</v>
      </c>
    </row>
    <row r="237" spans="10:35">
      <c r="J237" s="194">
        <f t="shared" si="22"/>
        <v>0</v>
      </c>
      <c r="K237" s="201">
        <f t="shared" si="26"/>
        <v>0</v>
      </c>
      <c r="L237" s="201">
        <f t="shared" si="23"/>
        <v>0</v>
      </c>
      <c r="M237" s="202">
        <f t="shared" si="24"/>
        <v>0</v>
      </c>
      <c r="N237" s="180"/>
      <c r="O237" s="202">
        <f t="shared" si="25"/>
        <v>0</v>
      </c>
      <c r="P237" s="203"/>
      <c r="Q237"/>
      <c r="R237"/>
      <c r="AG237" s="20" t="str">
        <f t="shared" si="21"/>
        <v/>
      </c>
      <c r="AH237" s="20" t="e">
        <f>+VLOOKUP(AG237,Catálogo!E:F,2,0)</f>
        <v>#N/A</v>
      </c>
      <c r="AI237" s="20" t="e">
        <f>+VLOOKUP(AG237,Catálogo!E:G,3,0)</f>
        <v>#N/A</v>
      </c>
    </row>
    <row r="238" spans="10:35">
      <c r="J238" s="194">
        <f t="shared" si="22"/>
        <v>0</v>
      </c>
      <c r="K238" s="201">
        <f t="shared" si="26"/>
        <v>0</v>
      </c>
      <c r="L238" s="201">
        <f t="shared" si="23"/>
        <v>0</v>
      </c>
      <c r="M238" s="202">
        <f t="shared" si="24"/>
        <v>0</v>
      </c>
      <c r="N238" s="180"/>
      <c r="O238" s="202">
        <f t="shared" si="25"/>
        <v>0</v>
      </c>
      <c r="P238" s="203"/>
      <c r="Q238"/>
      <c r="R238"/>
      <c r="AG238" s="20" t="str">
        <f t="shared" si="21"/>
        <v/>
      </c>
      <c r="AH238" s="20" t="e">
        <f>+VLOOKUP(AG238,Catálogo!E:F,2,0)</f>
        <v>#N/A</v>
      </c>
      <c r="AI238" s="20" t="e">
        <f>+VLOOKUP(AG238,Catálogo!E:G,3,0)</f>
        <v>#N/A</v>
      </c>
    </row>
    <row r="239" spans="10:35">
      <c r="J239" s="194">
        <f t="shared" si="22"/>
        <v>0</v>
      </c>
      <c r="K239" s="201">
        <f t="shared" si="26"/>
        <v>0</v>
      </c>
      <c r="L239" s="201">
        <f t="shared" si="23"/>
        <v>0</v>
      </c>
      <c r="M239" s="202">
        <f t="shared" si="24"/>
        <v>0</v>
      </c>
      <c r="N239" s="180"/>
      <c r="O239" s="202">
        <f t="shared" si="25"/>
        <v>0</v>
      </c>
      <c r="P239" s="203"/>
      <c r="Q239"/>
      <c r="R239"/>
      <c r="AG239" s="20" t="str">
        <f t="shared" si="21"/>
        <v/>
      </c>
      <c r="AH239" s="20" t="e">
        <f>+VLOOKUP(AG239,Catálogo!E:F,2,0)</f>
        <v>#N/A</v>
      </c>
      <c r="AI239" s="20" t="e">
        <f>+VLOOKUP(AG239,Catálogo!E:G,3,0)</f>
        <v>#N/A</v>
      </c>
    </row>
    <row r="240" spans="10:35">
      <c r="J240" s="194">
        <f t="shared" si="22"/>
        <v>0</v>
      </c>
      <c r="K240" s="201">
        <f t="shared" si="26"/>
        <v>0</v>
      </c>
      <c r="L240" s="201">
        <f t="shared" si="23"/>
        <v>0</v>
      </c>
      <c r="M240" s="202">
        <f t="shared" si="24"/>
        <v>0</v>
      </c>
      <c r="N240" s="180"/>
      <c r="O240" s="202">
        <f t="shared" si="25"/>
        <v>0</v>
      </c>
      <c r="P240" s="203"/>
      <c r="Q240"/>
      <c r="R240"/>
      <c r="AG240" s="20" t="str">
        <f t="shared" si="21"/>
        <v/>
      </c>
      <c r="AH240" s="20" t="e">
        <f>+VLOOKUP(AG240,Catálogo!E:F,2,0)</f>
        <v>#N/A</v>
      </c>
      <c r="AI240" s="20" t="e">
        <f>+VLOOKUP(AG240,Catálogo!E:G,3,0)</f>
        <v>#N/A</v>
      </c>
    </row>
    <row r="241" spans="10:35">
      <c r="J241" s="194">
        <f t="shared" si="22"/>
        <v>0</v>
      </c>
      <c r="K241" s="201">
        <f t="shared" si="26"/>
        <v>0</v>
      </c>
      <c r="L241" s="201">
        <f t="shared" si="23"/>
        <v>0</v>
      </c>
      <c r="M241" s="202">
        <f t="shared" si="24"/>
        <v>0</v>
      </c>
      <c r="N241" s="180"/>
      <c r="O241" s="202">
        <f t="shared" si="25"/>
        <v>0</v>
      </c>
      <c r="P241" s="203"/>
      <c r="Q241"/>
      <c r="R241"/>
      <c r="AG241" s="20" t="str">
        <f t="shared" si="21"/>
        <v/>
      </c>
      <c r="AH241" s="20" t="e">
        <f>+VLOOKUP(AG241,Catálogo!E:F,2,0)</f>
        <v>#N/A</v>
      </c>
      <c r="AI241" s="20" t="e">
        <f>+VLOOKUP(AG241,Catálogo!E:G,3,0)</f>
        <v>#N/A</v>
      </c>
    </row>
    <row r="242" spans="10:35">
      <c r="J242" s="194">
        <f t="shared" si="22"/>
        <v>0</v>
      </c>
      <c r="K242" s="201">
        <f t="shared" si="26"/>
        <v>0</v>
      </c>
      <c r="L242" s="201">
        <f t="shared" si="23"/>
        <v>0</v>
      </c>
      <c r="M242" s="202">
        <f t="shared" si="24"/>
        <v>0</v>
      </c>
      <c r="N242" s="180"/>
      <c r="O242" s="202">
        <f t="shared" si="25"/>
        <v>0</v>
      </c>
      <c r="P242" s="203"/>
      <c r="Q242"/>
      <c r="R242"/>
      <c r="AG242" s="20" t="str">
        <f t="shared" si="21"/>
        <v/>
      </c>
      <c r="AH242" s="20" t="e">
        <f>+VLOOKUP(AG242,Catálogo!E:F,2,0)</f>
        <v>#N/A</v>
      </c>
      <c r="AI242" s="20" t="e">
        <f>+VLOOKUP(AG242,Catálogo!E:G,3,0)</f>
        <v>#N/A</v>
      </c>
    </row>
    <row r="243" spans="10:35">
      <c r="J243" s="194">
        <f t="shared" si="22"/>
        <v>0</v>
      </c>
      <c r="K243" s="201">
        <f t="shared" si="26"/>
        <v>0</v>
      </c>
      <c r="L243" s="201">
        <f t="shared" si="23"/>
        <v>0</v>
      </c>
      <c r="M243" s="202">
        <f t="shared" si="24"/>
        <v>0</v>
      </c>
      <c r="N243" s="180"/>
      <c r="O243" s="202">
        <f t="shared" si="25"/>
        <v>0</v>
      </c>
      <c r="P243" s="203"/>
      <c r="Q243"/>
      <c r="R243"/>
      <c r="AG243" s="20" t="str">
        <f t="shared" si="21"/>
        <v/>
      </c>
      <c r="AH243" s="20" t="e">
        <f>+VLOOKUP(AG243,Catálogo!E:F,2,0)</f>
        <v>#N/A</v>
      </c>
      <c r="AI243" s="20" t="e">
        <f>+VLOOKUP(AG243,Catálogo!E:G,3,0)</f>
        <v>#N/A</v>
      </c>
    </row>
    <row r="244" spans="10:35">
      <c r="J244" s="194">
        <f t="shared" si="22"/>
        <v>0</v>
      </c>
      <c r="K244" s="201">
        <f t="shared" si="26"/>
        <v>0</v>
      </c>
      <c r="L244" s="201">
        <f t="shared" si="23"/>
        <v>0</v>
      </c>
      <c r="M244" s="202">
        <f t="shared" si="24"/>
        <v>0</v>
      </c>
      <c r="N244" s="180"/>
      <c r="O244" s="202">
        <f t="shared" si="25"/>
        <v>0</v>
      </c>
      <c r="P244" s="203"/>
      <c r="Q244"/>
      <c r="R244"/>
      <c r="AG244" s="20" t="str">
        <f t="shared" si="21"/>
        <v/>
      </c>
      <c r="AH244" s="20" t="e">
        <f>+VLOOKUP(AG244,Catálogo!E:F,2,0)</f>
        <v>#N/A</v>
      </c>
      <c r="AI244" s="20" t="e">
        <f>+VLOOKUP(AG244,Catálogo!E:G,3,0)</f>
        <v>#N/A</v>
      </c>
    </row>
    <row r="245" spans="10:35">
      <c r="J245" s="194">
        <f t="shared" si="22"/>
        <v>0</v>
      </c>
      <c r="K245" s="201">
        <f t="shared" si="26"/>
        <v>0</v>
      </c>
      <c r="L245" s="201">
        <f t="shared" si="23"/>
        <v>0</v>
      </c>
      <c r="M245" s="202">
        <f t="shared" si="24"/>
        <v>0</v>
      </c>
      <c r="N245" s="180"/>
      <c r="O245" s="202">
        <f t="shared" si="25"/>
        <v>0</v>
      </c>
      <c r="P245" s="203"/>
      <c r="Q245"/>
      <c r="R245"/>
      <c r="AG245" s="20" t="str">
        <f t="shared" si="21"/>
        <v/>
      </c>
      <c r="AH245" s="20" t="e">
        <f>+VLOOKUP(AG245,Catálogo!E:F,2,0)</f>
        <v>#N/A</v>
      </c>
      <c r="AI245" s="20" t="e">
        <f>+VLOOKUP(AG245,Catálogo!E:G,3,0)</f>
        <v>#N/A</v>
      </c>
    </row>
    <row r="246" spans="10:35">
      <c r="J246" s="194">
        <f t="shared" si="22"/>
        <v>0</v>
      </c>
      <c r="K246" s="201">
        <f t="shared" si="26"/>
        <v>0</v>
      </c>
      <c r="L246" s="201">
        <f t="shared" si="23"/>
        <v>0</v>
      </c>
      <c r="M246" s="202">
        <f t="shared" si="24"/>
        <v>0</v>
      </c>
      <c r="N246" s="180"/>
      <c r="O246" s="202">
        <f t="shared" si="25"/>
        <v>0</v>
      </c>
      <c r="P246" s="203"/>
      <c r="Q246"/>
      <c r="R246"/>
      <c r="AG246" s="20" t="str">
        <f t="shared" si="21"/>
        <v/>
      </c>
      <c r="AH246" s="20" t="e">
        <f>+VLOOKUP(AG246,Catálogo!E:F,2,0)</f>
        <v>#N/A</v>
      </c>
      <c r="AI246" s="20" t="e">
        <f>+VLOOKUP(AG246,Catálogo!E:G,3,0)</f>
        <v>#N/A</v>
      </c>
    </row>
    <row r="247" spans="10:35">
      <c r="J247" s="194">
        <f t="shared" si="22"/>
        <v>0</v>
      </c>
      <c r="K247" s="201">
        <f t="shared" si="26"/>
        <v>0</v>
      </c>
      <c r="L247" s="201">
        <f t="shared" si="23"/>
        <v>0</v>
      </c>
      <c r="M247" s="202">
        <f t="shared" si="24"/>
        <v>0</v>
      </c>
      <c r="N247" s="180"/>
      <c r="O247" s="202">
        <f t="shared" si="25"/>
        <v>0</v>
      </c>
      <c r="P247" s="203"/>
      <c r="Q247"/>
      <c r="R247"/>
      <c r="AG247" s="20" t="str">
        <f t="shared" si="21"/>
        <v/>
      </c>
      <c r="AH247" s="20" t="e">
        <f>+VLOOKUP(AG247,Catálogo!E:F,2,0)</f>
        <v>#N/A</v>
      </c>
      <c r="AI247" s="20" t="e">
        <f>+VLOOKUP(AG247,Catálogo!E:G,3,0)</f>
        <v>#N/A</v>
      </c>
    </row>
    <row r="248" spans="10:35">
      <c r="J248" s="194">
        <f t="shared" si="22"/>
        <v>0</v>
      </c>
      <c r="K248" s="201">
        <f t="shared" si="26"/>
        <v>0</v>
      </c>
      <c r="L248" s="201">
        <f t="shared" si="23"/>
        <v>0</v>
      </c>
      <c r="M248" s="202">
        <f t="shared" si="24"/>
        <v>0</v>
      </c>
      <c r="N248" s="180"/>
      <c r="O248" s="202">
        <f t="shared" si="25"/>
        <v>0</v>
      </c>
      <c r="P248" s="203"/>
      <c r="Q248"/>
      <c r="R248"/>
      <c r="AG248" s="20" t="str">
        <f t="shared" si="21"/>
        <v/>
      </c>
      <c r="AH248" s="20" t="e">
        <f>+VLOOKUP(AG248,Catálogo!E:F,2,0)</f>
        <v>#N/A</v>
      </c>
      <c r="AI248" s="20" t="e">
        <f>+VLOOKUP(AG248,Catálogo!E:G,3,0)</f>
        <v>#N/A</v>
      </c>
    </row>
    <row r="249" spans="10:35">
      <c r="J249" s="194">
        <f t="shared" si="22"/>
        <v>0</v>
      </c>
      <c r="K249" s="201">
        <f t="shared" si="26"/>
        <v>0</v>
      </c>
      <c r="L249" s="201">
        <f t="shared" si="23"/>
        <v>0</v>
      </c>
      <c r="M249" s="202">
        <f t="shared" si="24"/>
        <v>0</v>
      </c>
      <c r="N249" s="180"/>
      <c r="O249" s="202">
        <f t="shared" si="25"/>
        <v>0</v>
      </c>
      <c r="P249" s="203"/>
      <c r="Q249"/>
      <c r="R249"/>
      <c r="AG249" s="20" t="str">
        <f t="shared" si="21"/>
        <v/>
      </c>
      <c r="AH249" s="20" t="e">
        <f>+VLOOKUP(AG249,Catálogo!E:F,2,0)</f>
        <v>#N/A</v>
      </c>
      <c r="AI249" s="20" t="e">
        <f>+VLOOKUP(AG249,Catálogo!E:G,3,0)</f>
        <v>#N/A</v>
      </c>
    </row>
    <row r="250" spans="10:35">
      <c r="J250" s="194">
        <f t="shared" si="22"/>
        <v>0</v>
      </c>
      <c r="K250" s="201">
        <f t="shared" si="26"/>
        <v>0</v>
      </c>
      <c r="L250" s="201">
        <f t="shared" si="23"/>
        <v>0</v>
      </c>
      <c r="M250" s="202">
        <f t="shared" si="24"/>
        <v>0</v>
      </c>
      <c r="N250" s="180"/>
      <c r="O250" s="202">
        <f t="shared" si="25"/>
        <v>0</v>
      </c>
      <c r="P250" s="203"/>
      <c r="Q250"/>
      <c r="R250"/>
      <c r="AG250" s="20" t="str">
        <f t="shared" si="21"/>
        <v/>
      </c>
      <c r="AH250" s="20" t="e">
        <f>+VLOOKUP(AG250,Catálogo!E:F,2,0)</f>
        <v>#N/A</v>
      </c>
      <c r="AI250" s="20" t="e">
        <f>+VLOOKUP(AG250,Catálogo!E:G,3,0)</f>
        <v>#N/A</v>
      </c>
    </row>
    <row r="251" spans="10:35">
      <c r="J251" s="194">
        <f t="shared" si="22"/>
        <v>0</v>
      </c>
      <c r="K251" s="201">
        <f t="shared" si="26"/>
        <v>0</v>
      </c>
      <c r="L251" s="201">
        <f t="shared" si="23"/>
        <v>0</v>
      </c>
      <c r="M251" s="202">
        <f t="shared" si="24"/>
        <v>0</v>
      </c>
      <c r="N251" s="180"/>
      <c r="O251" s="202">
        <f t="shared" si="25"/>
        <v>0</v>
      </c>
      <c r="P251" s="203"/>
      <c r="Q251"/>
      <c r="R251"/>
      <c r="AG251" s="20" t="str">
        <f t="shared" si="21"/>
        <v/>
      </c>
      <c r="AH251" s="20" t="e">
        <f>+VLOOKUP(AG251,Catálogo!E:F,2,0)</f>
        <v>#N/A</v>
      </c>
      <c r="AI251" s="20" t="e">
        <f>+VLOOKUP(AG251,Catálogo!E:G,3,0)</f>
        <v>#N/A</v>
      </c>
    </row>
    <row r="252" spans="10:35">
      <c r="J252" s="194"/>
      <c r="K252" s="201">
        <f t="shared" si="26"/>
        <v>0</v>
      </c>
      <c r="L252" s="201">
        <f t="shared" si="23"/>
        <v>0</v>
      </c>
      <c r="M252" s="202">
        <f t="shared" si="24"/>
        <v>0</v>
      </c>
      <c r="N252" s="180"/>
      <c r="O252" s="202">
        <f t="shared" si="25"/>
        <v>0</v>
      </c>
      <c r="P252" s="203"/>
      <c r="Q252"/>
      <c r="R252"/>
      <c r="AG252" s="20" t="str">
        <f t="shared" si="21"/>
        <v/>
      </c>
      <c r="AH252" s="20" t="e">
        <f>+VLOOKUP(AG252,Catálogo!E:F,2,0)</f>
        <v>#N/A</v>
      </c>
      <c r="AI252" s="20" t="e">
        <f>+VLOOKUP(AG252,Catálogo!E:G,3,0)</f>
        <v>#N/A</v>
      </c>
    </row>
    <row r="253" spans="10:35">
      <c r="J253" s="194"/>
      <c r="K253" s="201">
        <f t="shared" si="26"/>
        <v>0</v>
      </c>
      <c r="L253" s="201">
        <f t="shared" si="23"/>
        <v>0</v>
      </c>
      <c r="M253" s="202">
        <f t="shared" si="24"/>
        <v>0</v>
      </c>
      <c r="N253" s="180"/>
      <c r="O253" s="202">
        <f t="shared" si="25"/>
        <v>0</v>
      </c>
      <c r="P253" s="203"/>
      <c r="Q253"/>
      <c r="R253"/>
      <c r="AG253" s="20" t="str">
        <f t="shared" si="21"/>
        <v/>
      </c>
      <c r="AH253" s="20" t="e">
        <f>+VLOOKUP(AG253,Catálogo!E:F,2,0)</f>
        <v>#N/A</v>
      </c>
      <c r="AI253" s="20" t="e">
        <f>+VLOOKUP(AG253,Catálogo!E:G,3,0)</f>
        <v>#N/A</v>
      </c>
    </row>
    <row r="254" spans="10:35">
      <c r="J254"/>
      <c r="K254"/>
      <c r="L254"/>
      <c r="M254"/>
      <c r="N254" s="180"/>
      <c r="O254"/>
      <c r="P254"/>
      <c r="Q254"/>
      <c r="R254"/>
      <c r="AG254" s="20" t="str">
        <f t="shared" si="21"/>
        <v/>
      </c>
      <c r="AH254" s="20" t="e">
        <f>+VLOOKUP(AG254,Catálogo!E:F,2,0)</f>
        <v>#N/A</v>
      </c>
      <c r="AI254" s="20" t="e">
        <f>+VLOOKUP(AG254,Catálogo!E:G,3,0)</f>
        <v>#N/A</v>
      </c>
    </row>
    <row r="255" spans="10:35">
      <c r="J255"/>
      <c r="K255"/>
      <c r="L255"/>
      <c r="M255"/>
      <c r="N255" s="180"/>
      <c r="O255"/>
      <c r="P255"/>
      <c r="Q255"/>
      <c r="R255"/>
      <c r="AG255" s="20" t="str">
        <f t="shared" si="21"/>
        <v/>
      </c>
      <c r="AH255" s="20" t="e">
        <f>+VLOOKUP(AG255,Catálogo!E:F,2,0)</f>
        <v>#N/A</v>
      </c>
      <c r="AI255" s="20" t="e">
        <f>+VLOOKUP(AG255,Catálogo!E:G,3,0)</f>
        <v>#N/A</v>
      </c>
    </row>
    <row r="256" spans="10:35">
      <c r="J256"/>
      <c r="K256"/>
      <c r="L256"/>
      <c r="M256"/>
      <c r="N256" s="180"/>
      <c r="O256"/>
      <c r="P256"/>
      <c r="Q256"/>
      <c r="R256"/>
      <c r="AG256" s="20" t="str">
        <f t="shared" si="21"/>
        <v/>
      </c>
      <c r="AH256" s="20" t="e">
        <f>+VLOOKUP(AG256,Catálogo!E:F,2,0)</f>
        <v>#N/A</v>
      </c>
      <c r="AI256" s="20" t="e">
        <f>+VLOOKUP(AG256,Catálogo!E:G,3,0)</f>
        <v>#N/A</v>
      </c>
    </row>
    <row r="257" spans="33:35">
      <c r="AG257" s="20" t="str">
        <f t="shared" si="21"/>
        <v/>
      </c>
      <c r="AH257" s="20" t="e">
        <f>+VLOOKUP(AG257,Catálogo!E:F,2,0)</f>
        <v>#N/A</v>
      </c>
      <c r="AI257" s="20" t="e">
        <f>+VLOOKUP(AG257,Catálogo!E:G,3,0)</f>
        <v>#N/A</v>
      </c>
    </row>
    <row r="258" spans="33:35">
      <c r="AG258" s="20" t="str">
        <f t="shared" si="21"/>
        <v/>
      </c>
      <c r="AH258" s="20" t="e">
        <f>+VLOOKUP(AG258,Catálogo!E:F,2,0)</f>
        <v>#N/A</v>
      </c>
      <c r="AI258" s="20" t="e">
        <f>+VLOOKUP(AG258,Catálogo!E:G,3,0)</f>
        <v>#N/A</v>
      </c>
    </row>
    <row r="259" spans="33:35">
      <c r="AG259" s="20" t="str">
        <f t="shared" ref="AG259:AG322" si="27">+CONCATENATE(S259,T259,V259)</f>
        <v/>
      </c>
      <c r="AH259" s="20" t="e">
        <f>+VLOOKUP(AG259,Catálogo!E:F,2,0)</f>
        <v>#N/A</v>
      </c>
      <c r="AI259" s="20" t="e">
        <f>+VLOOKUP(AG259,Catálogo!E:G,3,0)</f>
        <v>#N/A</v>
      </c>
    </row>
    <row r="260" spans="33:35">
      <c r="AG260" s="20" t="str">
        <f t="shared" si="27"/>
        <v/>
      </c>
      <c r="AH260" s="20" t="e">
        <f>+VLOOKUP(AG260,Catálogo!E:F,2,0)</f>
        <v>#N/A</v>
      </c>
      <c r="AI260" s="20" t="e">
        <f>+VLOOKUP(AG260,Catálogo!E:G,3,0)</f>
        <v>#N/A</v>
      </c>
    </row>
    <row r="261" spans="33:35">
      <c r="AG261" s="20" t="str">
        <f t="shared" si="27"/>
        <v/>
      </c>
      <c r="AH261" s="20" t="e">
        <f>+VLOOKUP(AG261,Catálogo!E:F,2,0)</f>
        <v>#N/A</v>
      </c>
      <c r="AI261" s="20" t="e">
        <f>+VLOOKUP(AG261,Catálogo!E:G,3,0)</f>
        <v>#N/A</v>
      </c>
    </row>
    <row r="262" spans="33:35">
      <c r="AG262" s="20" t="str">
        <f t="shared" si="27"/>
        <v/>
      </c>
      <c r="AH262" s="20" t="e">
        <f>+VLOOKUP(AG262,Catálogo!E:F,2,0)</f>
        <v>#N/A</v>
      </c>
      <c r="AI262" s="20" t="e">
        <f>+VLOOKUP(AG262,Catálogo!E:G,3,0)</f>
        <v>#N/A</v>
      </c>
    </row>
    <row r="263" spans="33:35">
      <c r="AG263" s="20" t="str">
        <f t="shared" si="27"/>
        <v/>
      </c>
      <c r="AH263" s="20" t="e">
        <f>+VLOOKUP(AG263,Catálogo!E:F,2,0)</f>
        <v>#N/A</v>
      </c>
      <c r="AI263" s="20" t="e">
        <f>+VLOOKUP(AG263,Catálogo!E:G,3,0)</f>
        <v>#N/A</v>
      </c>
    </row>
    <row r="264" spans="33:35">
      <c r="AG264" s="20" t="str">
        <f t="shared" si="27"/>
        <v/>
      </c>
      <c r="AH264" s="20" t="e">
        <f>+VLOOKUP(AG264,Catálogo!E:F,2,0)</f>
        <v>#N/A</v>
      </c>
      <c r="AI264" s="20" t="e">
        <f>+VLOOKUP(AG264,Catálogo!E:G,3,0)</f>
        <v>#N/A</v>
      </c>
    </row>
    <row r="265" spans="33:35">
      <c r="AG265" s="20" t="str">
        <f t="shared" si="27"/>
        <v/>
      </c>
      <c r="AH265" s="20" t="e">
        <f>+VLOOKUP(AG265,Catálogo!E:F,2,0)</f>
        <v>#N/A</v>
      </c>
      <c r="AI265" s="20" t="e">
        <f>+VLOOKUP(AG265,Catálogo!E:G,3,0)</f>
        <v>#N/A</v>
      </c>
    </row>
    <row r="266" spans="33:35">
      <c r="AG266" s="20" t="str">
        <f t="shared" si="27"/>
        <v/>
      </c>
      <c r="AH266" s="20" t="e">
        <f>+VLOOKUP(AG266,Catálogo!E:F,2,0)</f>
        <v>#N/A</v>
      </c>
      <c r="AI266" s="20" t="e">
        <f>+VLOOKUP(AG266,Catálogo!E:G,3,0)</f>
        <v>#N/A</v>
      </c>
    </row>
    <row r="267" spans="33:35">
      <c r="AG267" s="20" t="str">
        <f t="shared" si="27"/>
        <v/>
      </c>
      <c r="AH267" s="20" t="e">
        <f>+VLOOKUP(AG267,Catálogo!E:F,2,0)</f>
        <v>#N/A</v>
      </c>
      <c r="AI267" s="20" t="e">
        <f>+VLOOKUP(AG267,Catálogo!E:G,3,0)</f>
        <v>#N/A</v>
      </c>
    </row>
    <row r="268" spans="33:35">
      <c r="AG268" s="20" t="str">
        <f t="shared" si="27"/>
        <v/>
      </c>
      <c r="AH268" s="20" t="e">
        <f>+VLOOKUP(AG268,Catálogo!E:F,2,0)</f>
        <v>#N/A</v>
      </c>
      <c r="AI268" s="20" t="e">
        <f>+VLOOKUP(AG268,Catálogo!E:G,3,0)</f>
        <v>#N/A</v>
      </c>
    </row>
    <row r="269" spans="33:35">
      <c r="AG269" s="20" t="str">
        <f t="shared" si="27"/>
        <v/>
      </c>
      <c r="AH269" s="20" t="e">
        <f>+VLOOKUP(AG269,Catálogo!E:F,2,0)</f>
        <v>#N/A</v>
      </c>
      <c r="AI269" s="20" t="e">
        <f>+VLOOKUP(AG269,Catálogo!E:G,3,0)</f>
        <v>#N/A</v>
      </c>
    </row>
    <row r="270" spans="33:35">
      <c r="AG270" s="20" t="str">
        <f t="shared" si="27"/>
        <v/>
      </c>
      <c r="AH270" s="20" t="e">
        <f>+VLOOKUP(AG270,Catálogo!E:F,2,0)</f>
        <v>#N/A</v>
      </c>
      <c r="AI270" s="20" t="e">
        <f>+VLOOKUP(AG270,Catálogo!E:G,3,0)</f>
        <v>#N/A</v>
      </c>
    </row>
    <row r="271" spans="33:35">
      <c r="AG271" s="20" t="str">
        <f t="shared" si="27"/>
        <v/>
      </c>
      <c r="AH271" s="20" t="e">
        <f>+VLOOKUP(AG271,Catálogo!E:F,2,0)</f>
        <v>#N/A</v>
      </c>
      <c r="AI271" s="20" t="e">
        <f>+VLOOKUP(AG271,Catálogo!E:G,3,0)</f>
        <v>#N/A</v>
      </c>
    </row>
    <row r="272" spans="33:35">
      <c r="AG272" s="20" t="str">
        <f t="shared" si="27"/>
        <v/>
      </c>
      <c r="AH272" s="20" t="e">
        <f>+VLOOKUP(AG272,Catálogo!E:F,2,0)</f>
        <v>#N/A</v>
      </c>
      <c r="AI272" s="20" t="e">
        <f>+VLOOKUP(AG272,Catálogo!E:G,3,0)</f>
        <v>#N/A</v>
      </c>
    </row>
    <row r="273" spans="33:35">
      <c r="AG273" s="20" t="str">
        <f t="shared" si="27"/>
        <v/>
      </c>
      <c r="AH273" s="20" t="e">
        <f>+VLOOKUP(AG273,Catálogo!E:F,2,0)</f>
        <v>#N/A</v>
      </c>
      <c r="AI273" s="20" t="e">
        <f>+VLOOKUP(AG273,Catálogo!E:G,3,0)</f>
        <v>#N/A</v>
      </c>
    </row>
    <row r="274" spans="33:35">
      <c r="AG274" s="20" t="str">
        <f t="shared" si="27"/>
        <v/>
      </c>
      <c r="AH274" s="20" t="e">
        <f>+VLOOKUP(AG274,Catálogo!E:F,2,0)</f>
        <v>#N/A</v>
      </c>
      <c r="AI274" s="20" t="e">
        <f>+VLOOKUP(AG274,Catálogo!E:G,3,0)</f>
        <v>#N/A</v>
      </c>
    </row>
    <row r="275" spans="33:35">
      <c r="AG275" s="20" t="str">
        <f t="shared" si="27"/>
        <v/>
      </c>
      <c r="AH275" s="20" t="e">
        <f>+VLOOKUP(AG275,Catálogo!E:F,2,0)</f>
        <v>#N/A</v>
      </c>
      <c r="AI275" s="20" t="e">
        <f>+VLOOKUP(AG275,Catálogo!E:G,3,0)</f>
        <v>#N/A</v>
      </c>
    </row>
    <row r="276" spans="33:35">
      <c r="AG276" s="20" t="str">
        <f t="shared" si="27"/>
        <v/>
      </c>
      <c r="AH276" s="20" t="e">
        <f>+VLOOKUP(AG276,Catálogo!E:F,2,0)</f>
        <v>#N/A</v>
      </c>
      <c r="AI276" s="20" t="e">
        <f>+VLOOKUP(AG276,Catálogo!E:G,3,0)</f>
        <v>#N/A</v>
      </c>
    </row>
    <row r="277" spans="33:35">
      <c r="AG277" s="20" t="str">
        <f t="shared" si="27"/>
        <v/>
      </c>
      <c r="AH277" s="20" t="e">
        <f>+VLOOKUP(AG277,Catálogo!E:F,2,0)</f>
        <v>#N/A</v>
      </c>
      <c r="AI277" s="20" t="e">
        <f>+VLOOKUP(AG277,Catálogo!E:G,3,0)</f>
        <v>#N/A</v>
      </c>
    </row>
    <row r="278" spans="33:35">
      <c r="AG278" s="20" t="str">
        <f t="shared" si="27"/>
        <v/>
      </c>
      <c r="AH278" s="20" t="e">
        <f>+VLOOKUP(AG278,Catálogo!E:F,2,0)</f>
        <v>#N/A</v>
      </c>
      <c r="AI278" s="20" t="e">
        <f>+VLOOKUP(AG278,Catálogo!E:G,3,0)</f>
        <v>#N/A</v>
      </c>
    </row>
    <row r="279" spans="33:35">
      <c r="AG279" s="20" t="str">
        <f t="shared" si="27"/>
        <v/>
      </c>
      <c r="AH279" s="20" t="e">
        <f>+VLOOKUP(AG279,Catálogo!E:F,2,0)</f>
        <v>#N/A</v>
      </c>
      <c r="AI279" s="20" t="e">
        <f>+VLOOKUP(AG279,Catálogo!E:G,3,0)</f>
        <v>#N/A</v>
      </c>
    </row>
    <row r="280" spans="33:35">
      <c r="AG280" s="20" t="str">
        <f t="shared" si="27"/>
        <v/>
      </c>
      <c r="AH280" s="20" t="e">
        <f>+VLOOKUP(AG280,Catálogo!E:F,2,0)</f>
        <v>#N/A</v>
      </c>
      <c r="AI280" s="20" t="e">
        <f>+VLOOKUP(AG280,Catálogo!E:G,3,0)</f>
        <v>#N/A</v>
      </c>
    </row>
    <row r="281" spans="33:35">
      <c r="AG281" s="20" t="str">
        <f t="shared" si="27"/>
        <v/>
      </c>
      <c r="AH281" s="20" t="e">
        <f>+VLOOKUP(AG281,Catálogo!E:F,2,0)</f>
        <v>#N/A</v>
      </c>
      <c r="AI281" s="20" t="e">
        <f>+VLOOKUP(AG281,Catálogo!E:G,3,0)</f>
        <v>#N/A</v>
      </c>
    </row>
    <row r="282" spans="33:35">
      <c r="AG282" s="20" t="str">
        <f t="shared" si="27"/>
        <v/>
      </c>
      <c r="AH282" s="20" t="e">
        <f>+VLOOKUP(AG282,Catálogo!E:F,2,0)</f>
        <v>#N/A</v>
      </c>
      <c r="AI282" s="20" t="e">
        <f>+VLOOKUP(AG282,Catálogo!E:G,3,0)</f>
        <v>#N/A</v>
      </c>
    </row>
    <row r="283" spans="33:35">
      <c r="AG283" s="20" t="str">
        <f t="shared" si="27"/>
        <v/>
      </c>
      <c r="AH283" s="20" t="e">
        <f>+VLOOKUP(AG283,Catálogo!E:F,2,0)</f>
        <v>#N/A</v>
      </c>
      <c r="AI283" s="20" t="e">
        <f>+VLOOKUP(AG283,Catálogo!E:G,3,0)</f>
        <v>#N/A</v>
      </c>
    </row>
    <row r="284" spans="33:35">
      <c r="AG284" s="20" t="str">
        <f t="shared" si="27"/>
        <v/>
      </c>
      <c r="AH284" s="20" t="e">
        <f>+VLOOKUP(AG284,Catálogo!E:F,2,0)</f>
        <v>#N/A</v>
      </c>
      <c r="AI284" s="20" t="e">
        <f>+VLOOKUP(AG284,Catálogo!E:G,3,0)</f>
        <v>#N/A</v>
      </c>
    </row>
    <row r="285" spans="33:35">
      <c r="AG285" s="20" t="str">
        <f t="shared" si="27"/>
        <v/>
      </c>
      <c r="AH285" s="20" t="e">
        <f>+VLOOKUP(AG285,Catálogo!E:F,2,0)</f>
        <v>#N/A</v>
      </c>
      <c r="AI285" s="20" t="e">
        <f>+VLOOKUP(AG285,Catálogo!E:G,3,0)</f>
        <v>#N/A</v>
      </c>
    </row>
    <row r="286" spans="33:35">
      <c r="AG286" s="20" t="str">
        <f t="shared" si="27"/>
        <v/>
      </c>
      <c r="AH286" s="20" t="e">
        <f>+VLOOKUP(AG286,Catálogo!E:F,2,0)</f>
        <v>#N/A</v>
      </c>
      <c r="AI286" s="20" t="e">
        <f>+VLOOKUP(AG286,Catálogo!E:G,3,0)</f>
        <v>#N/A</v>
      </c>
    </row>
    <row r="287" spans="33:35">
      <c r="AG287" s="20" t="str">
        <f t="shared" si="27"/>
        <v/>
      </c>
      <c r="AH287" s="20" t="e">
        <f>+VLOOKUP(AG287,Catálogo!E:F,2,0)</f>
        <v>#N/A</v>
      </c>
      <c r="AI287" s="20" t="e">
        <f>+VLOOKUP(AG287,Catálogo!E:G,3,0)</f>
        <v>#N/A</v>
      </c>
    </row>
    <row r="288" spans="33:35">
      <c r="AG288" s="20" t="str">
        <f t="shared" si="27"/>
        <v/>
      </c>
      <c r="AH288" s="20" t="e">
        <f>+VLOOKUP(AG288,Catálogo!E:F,2,0)</f>
        <v>#N/A</v>
      </c>
      <c r="AI288" s="20" t="e">
        <f>+VLOOKUP(AG288,Catálogo!E:G,3,0)</f>
        <v>#N/A</v>
      </c>
    </row>
    <row r="289" spans="33:35">
      <c r="AG289" s="20" t="str">
        <f t="shared" si="27"/>
        <v/>
      </c>
      <c r="AH289" s="20" t="e">
        <f>+VLOOKUP(AG289,Catálogo!E:F,2,0)</f>
        <v>#N/A</v>
      </c>
      <c r="AI289" s="20" t="e">
        <f>+VLOOKUP(AG289,Catálogo!E:G,3,0)</f>
        <v>#N/A</v>
      </c>
    </row>
    <row r="290" spans="33:35">
      <c r="AG290" s="20" t="str">
        <f t="shared" si="27"/>
        <v/>
      </c>
      <c r="AH290" s="20" t="e">
        <f>+VLOOKUP(AG290,Catálogo!E:F,2,0)</f>
        <v>#N/A</v>
      </c>
      <c r="AI290" s="20" t="e">
        <f>+VLOOKUP(AG290,Catálogo!E:G,3,0)</f>
        <v>#N/A</v>
      </c>
    </row>
    <row r="291" spans="33:35">
      <c r="AG291" s="20" t="str">
        <f t="shared" si="27"/>
        <v/>
      </c>
      <c r="AH291" s="20" t="e">
        <f>+VLOOKUP(AG291,Catálogo!E:F,2,0)</f>
        <v>#N/A</v>
      </c>
      <c r="AI291" s="20" t="e">
        <f>+VLOOKUP(AG291,Catálogo!E:G,3,0)</f>
        <v>#N/A</v>
      </c>
    </row>
    <row r="292" spans="33:35">
      <c r="AG292" s="20" t="str">
        <f t="shared" si="27"/>
        <v/>
      </c>
      <c r="AH292" s="20" t="e">
        <f>+VLOOKUP(AG292,Catálogo!E:F,2,0)</f>
        <v>#N/A</v>
      </c>
      <c r="AI292" s="20" t="e">
        <f>+VLOOKUP(AG292,Catálogo!E:G,3,0)</f>
        <v>#N/A</v>
      </c>
    </row>
    <row r="293" spans="33:35">
      <c r="AG293" s="20" t="str">
        <f t="shared" si="27"/>
        <v/>
      </c>
      <c r="AH293" s="20" t="e">
        <f>+VLOOKUP(AG293,Catálogo!E:F,2,0)</f>
        <v>#N/A</v>
      </c>
      <c r="AI293" s="20" t="e">
        <f>+VLOOKUP(AG293,Catálogo!E:G,3,0)</f>
        <v>#N/A</v>
      </c>
    </row>
    <row r="294" spans="33:35">
      <c r="AG294" s="20" t="str">
        <f t="shared" si="27"/>
        <v/>
      </c>
      <c r="AH294" s="20" t="e">
        <f>+VLOOKUP(AG294,Catálogo!E:F,2,0)</f>
        <v>#N/A</v>
      </c>
      <c r="AI294" s="20" t="e">
        <f>+VLOOKUP(AG294,Catálogo!E:G,3,0)</f>
        <v>#N/A</v>
      </c>
    </row>
    <row r="295" spans="33:35">
      <c r="AG295" s="20" t="str">
        <f t="shared" si="27"/>
        <v/>
      </c>
      <c r="AH295" s="20" t="e">
        <f>+VLOOKUP(AG295,Catálogo!E:F,2,0)</f>
        <v>#N/A</v>
      </c>
      <c r="AI295" s="20" t="e">
        <f>+VLOOKUP(AG295,Catálogo!E:G,3,0)</f>
        <v>#N/A</v>
      </c>
    </row>
    <row r="296" spans="33:35">
      <c r="AG296" s="20" t="str">
        <f t="shared" si="27"/>
        <v/>
      </c>
      <c r="AH296" s="20" t="e">
        <f>+VLOOKUP(AG296,Catálogo!E:F,2,0)</f>
        <v>#N/A</v>
      </c>
      <c r="AI296" s="20" t="e">
        <f>+VLOOKUP(AG296,Catálogo!E:G,3,0)</f>
        <v>#N/A</v>
      </c>
    </row>
    <row r="297" spans="33:35">
      <c r="AG297" s="20" t="str">
        <f t="shared" si="27"/>
        <v/>
      </c>
      <c r="AH297" s="20" t="e">
        <f>+VLOOKUP(AG297,Catálogo!E:F,2,0)</f>
        <v>#N/A</v>
      </c>
      <c r="AI297" s="20" t="e">
        <f>+VLOOKUP(AG297,Catálogo!E:G,3,0)</f>
        <v>#N/A</v>
      </c>
    </row>
    <row r="298" spans="33:35">
      <c r="AG298" s="20" t="str">
        <f t="shared" si="27"/>
        <v/>
      </c>
      <c r="AH298" s="20" t="e">
        <f>+VLOOKUP(AG298,Catálogo!E:F,2,0)</f>
        <v>#N/A</v>
      </c>
      <c r="AI298" s="20" t="e">
        <f>+VLOOKUP(AG298,Catálogo!E:G,3,0)</f>
        <v>#N/A</v>
      </c>
    </row>
    <row r="299" spans="33:35">
      <c r="AG299" s="20" t="str">
        <f t="shared" si="27"/>
        <v/>
      </c>
      <c r="AH299" s="20" t="e">
        <f>+VLOOKUP(AG299,Catálogo!E:F,2,0)</f>
        <v>#N/A</v>
      </c>
      <c r="AI299" s="20" t="e">
        <f>+VLOOKUP(AG299,Catálogo!E:G,3,0)</f>
        <v>#N/A</v>
      </c>
    </row>
    <row r="300" spans="33:35">
      <c r="AG300" s="20" t="str">
        <f t="shared" si="27"/>
        <v/>
      </c>
      <c r="AH300" s="20" t="e">
        <f>+VLOOKUP(AG300,Catálogo!E:F,2,0)</f>
        <v>#N/A</v>
      </c>
    </row>
    <row r="301" spans="33:35">
      <c r="AG301" s="20" t="str">
        <f t="shared" si="27"/>
        <v/>
      </c>
      <c r="AH301" s="20" t="e">
        <f>+VLOOKUP(AG301,Catálogo!E:F,2,0)</f>
        <v>#N/A</v>
      </c>
    </row>
    <row r="302" spans="33:35">
      <c r="AG302" s="20" t="str">
        <f t="shared" si="27"/>
        <v/>
      </c>
      <c r="AH302" s="20" t="e">
        <f>+VLOOKUP(AG302,Catálogo!E:F,2,0)</f>
        <v>#N/A</v>
      </c>
    </row>
    <row r="303" spans="33:35">
      <c r="AG303" s="20" t="str">
        <f t="shared" si="27"/>
        <v/>
      </c>
      <c r="AH303" s="20" t="e">
        <f>+VLOOKUP(AG303,Catálogo!E:F,2,0)</f>
        <v>#N/A</v>
      </c>
    </row>
    <row r="304" spans="33:35">
      <c r="AG304" s="20" t="str">
        <f t="shared" si="27"/>
        <v/>
      </c>
      <c r="AH304" s="20" t="e">
        <f>+VLOOKUP(AG304,Catálogo!E:F,2,0)</f>
        <v>#N/A</v>
      </c>
    </row>
    <row r="305" spans="33:34">
      <c r="AG305" s="20" t="str">
        <f t="shared" si="27"/>
        <v/>
      </c>
      <c r="AH305" s="20" t="e">
        <f>+VLOOKUP(AG305,Catálogo!E:F,2,0)</f>
        <v>#N/A</v>
      </c>
    </row>
    <row r="306" spans="33:34">
      <c r="AG306" s="20" t="str">
        <f t="shared" si="27"/>
        <v/>
      </c>
      <c r="AH306" s="20" t="e">
        <f>+VLOOKUP(AG306,Catálogo!E:F,2,0)</f>
        <v>#N/A</v>
      </c>
    </row>
    <row r="307" spans="33:34">
      <c r="AG307" s="20" t="str">
        <f t="shared" si="27"/>
        <v/>
      </c>
      <c r="AH307" s="20" t="e">
        <f>+VLOOKUP(AG307,Catálogo!E:F,2,0)</f>
        <v>#N/A</v>
      </c>
    </row>
    <row r="308" spans="33:34">
      <c r="AG308" s="20" t="str">
        <f t="shared" si="27"/>
        <v/>
      </c>
      <c r="AH308" s="20" t="e">
        <f>+VLOOKUP(AG308,Catálogo!E:F,2,0)</f>
        <v>#N/A</v>
      </c>
    </row>
    <row r="309" spans="33:34">
      <c r="AG309" s="20" t="str">
        <f t="shared" si="27"/>
        <v/>
      </c>
      <c r="AH309" s="20" t="e">
        <f>+VLOOKUP(AG309,Catálogo!E:F,2,0)</f>
        <v>#N/A</v>
      </c>
    </row>
    <row r="310" spans="33:34">
      <c r="AG310" s="20" t="str">
        <f t="shared" si="27"/>
        <v/>
      </c>
      <c r="AH310" s="20" t="e">
        <f>+VLOOKUP(AG310,Catálogo!E:F,2,0)</f>
        <v>#N/A</v>
      </c>
    </row>
    <row r="311" spans="33:34">
      <c r="AG311" s="20" t="str">
        <f t="shared" si="27"/>
        <v/>
      </c>
      <c r="AH311" s="20" t="e">
        <f>+VLOOKUP(AG311,Catálogo!E:F,2,0)</f>
        <v>#N/A</v>
      </c>
    </row>
    <row r="312" spans="33:34">
      <c r="AG312" s="20" t="str">
        <f t="shared" si="27"/>
        <v/>
      </c>
      <c r="AH312" s="20" t="e">
        <f>+VLOOKUP(AG312,Catálogo!E:F,2,0)</f>
        <v>#N/A</v>
      </c>
    </row>
    <row r="313" spans="33:34">
      <c r="AG313" s="20" t="str">
        <f t="shared" si="27"/>
        <v/>
      </c>
      <c r="AH313" s="20" t="e">
        <f>+VLOOKUP(AG313,Catálogo!E:F,2,0)</f>
        <v>#N/A</v>
      </c>
    </row>
    <row r="314" spans="33:34">
      <c r="AG314" s="20" t="str">
        <f t="shared" si="27"/>
        <v/>
      </c>
      <c r="AH314" s="20" t="e">
        <f>+VLOOKUP(AG314,Catálogo!E:F,2,0)</f>
        <v>#N/A</v>
      </c>
    </row>
    <row r="315" spans="33:34">
      <c r="AG315" s="20" t="str">
        <f t="shared" si="27"/>
        <v/>
      </c>
      <c r="AH315" s="20" t="e">
        <f>+VLOOKUP(AG315,Catálogo!E:F,2,0)</f>
        <v>#N/A</v>
      </c>
    </row>
    <row r="316" spans="33:34">
      <c r="AG316" s="20" t="str">
        <f t="shared" si="27"/>
        <v/>
      </c>
      <c r="AH316" s="20" t="e">
        <f>+VLOOKUP(AG316,Catálogo!E:F,2,0)</f>
        <v>#N/A</v>
      </c>
    </row>
    <row r="317" spans="33:34">
      <c r="AG317" s="20" t="str">
        <f t="shared" si="27"/>
        <v/>
      </c>
      <c r="AH317" s="20" t="e">
        <f>+VLOOKUP(AG317,Catálogo!E:F,2,0)</f>
        <v>#N/A</v>
      </c>
    </row>
    <row r="318" spans="33:34">
      <c r="AG318" s="20" t="str">
        <f t="shared" si="27"/>
        <v/>
      </c>
      <c r="AH318" s="20" t="e">
        <f>+VLOOKUP(AG318,Catálogo!E:F,2,0)</f>
        <v>#N/A</v>
      </c>
    </row>
    <row r="319" spans="33:34">
      <c r="AG319" s="20" t="str">
        <f t="shared" si="27"/>
        <v/>
      </c>
      <c r="AH319" s="20" t="e">
        <f>+VLOOKUP(AG319,Catálogo!E:F,2,0)</f>
        <v>#N/A</v>
      </c>
    </row>
    <row r="320" spans="33:34">
      <c r="AG320" s="20" t="str">
        <f t="shared" si="27"/>
        <v/>
      </c>
      <c r="AH320" s="20" t="e">
        <f>+VLOOKUP(AG320,Catálogo!E:F,2,0)</f>
        <v>#N/A</v>
      </c>
    </row>
    <row r="321" spans="33:34">
      <c r="AG321" s="20" t="str">
        <f t="shared" si="27"/>
        <v/>
      </c>
      <c r="AH321" s="20" t="e">
        <f>+VLOOKUP(AG321,Catálogo!E:F,2,0)</f>
        <v>#N/A</v>
      </c>
    </row>
    <row r="322" spans="33:34">
      <c r="AG322" s="20" t="str">
        <f t="shared" si="27"/>
        <v/>
      </c>
      <c r="AH322" s="20" t="e">
        <f>+VLOOKUP(AG322,Catálogo!E:F,2,0)</f>
        <v>#N/A</v>
      </c>
    </row>
    <row r="323" spans="33:34">
      <c r="AG323" s="20" t="str">
        <f t="shared" ref="AG323:AG386" si="28">+CONCATENATE(S323,T323,V323)</f>
        <v/>
      </c>
      <c r="AH323" s="20" t="e">
        <f>+VLOOKUP(AG323,Catálogo!E:F,2,0)</f>
        <v>#N/A</v>
      </c>
    </row>
    <row r="324" spans="33:34">
      <c r="AG324" s="20" t="str">
        <f t="shared" si="28"/>
        <v/>
      </c>
      <c r="AH324" s="20" t="e">
        <f>+VLOOKUP(AG324,Catálogo!E:F,2,0)</f>
        <v>#N/A</v>
      </c>
    </row>
    <row r="325" spans="33:34">
      <c r="AG325" s="20" t="str">
        <f t="shared" si="28"/>
        <v/>
      </c>
      <c r="AH325" s="20" t="e">
        <f>+VLOOKUP(AG325,Catálogo!E:F,2,0)</f>
        <v>#N/A</v>
      </c>
    </row>
    <row r="326" spans="33:34">
      <c r="AG326" s="20" t="str">
        <f t="shared" si="28"/>
        <v/>
      </c>
      <c r="AH326" s="20" t="e">
        <f>+VLOOKUP(AG326,Catálogo!E:F,2,0)</f>
        <v>#N/A</v>
      </c>
    </row>
    <row r="327" spans="33:34">
      <c r="AG327" s="20" t="str">
        <f t="shared" si="28"/>
        <v/>
      </c>
      <c r="AH327" s="20" t="e">
        <f>+VLOOKUP(AG327,Catálogo!E:F,2,0)</f>
        <v>#N/A</v>
      </c>
    </row>
    <row r="328" spans="33:34">
      <c r="AG328" s="20" t="str">
        <f t="shared" si="28"/>
        <v/>
      </c>
      <c r="AH328" s="20" t="e">
        <f>+VLOOKUP(AG328,Catálogo!E:F,2,0)</f>
        <v>#N/A</v>
      </c>
    </row>
    <row r="329" spans="33:34">
      <c r="AG329" s="20" t="str">
        <f t="shared" si="28"/>
        <v/>
      </c>
      <c r="AH329" s="20" t="e">
        <f>+VLOOKUP(AG329,Catálogo!E:F,2,0)</f>
        <v>#N/A</v>
      </c>
    </row>
    <row r="330" spans="33:34">
      <c r="AG330" s="20" t="str">
        <f t="shared" si="28"/>
        <v/>
      </c>
      <c r="AH330" s="20" t="e">
        <f>+VLOOKUP(AG330,Catálogo!E:F,2,0)</f>
        <v>#N/A</v>
      </c>
    </row>
    <row r="331" spans="33:34">
      <c r="AG331" s="20" t="str">
        <f t="shared" si="28"/>
        <v/>
      </c>
      <c r="AH331" s="20" t="e">
        <f>+VLOOKUP(AG331,Catálogo!E:F,2,0)</f>
        <v>#N/A</v>
      </c>
    </row>
    <row r="332" spans="33:34">
      <c r="AG332" s="20" t="str">
        <f t="shared" si="28"/>
        <v/>
      </c>
      <c r="AH332" s="20" t="e">
        <f>+VLOOKUP(AG332,Catálogo!E:F,2,0)</f>
        <v>#N/A</v>
      </c>
    </row>
    <row r="333" spans="33:34">
      <c r="AG333" s="20" t="str">
        <f t="shared" si="28"/>
        <v/>
      </c>
      <c r="AH333" s="20" t="e">
        <f>+VLOOKUP(AG333,Catálogo!E:F,2,0)</f>
        <v>#N/A</v>
      </c>
    </row>
    <row r="334" spans="33:34">
      <c r="AG334" s="20" t="str">
        <f t="shared" si="28"/>
        <v/>
      </c>
      <c r="AH334" s="20" t="e">
        <f>+VLOOKUP(AG334,Catálogo!E:F,2,0)</f>
        <v>#N/A</v>
      </c>
    </row>
    <row r="335" spans="33:34">
      <c r="AG335" s="20" t="str">
        <f t="shared" si="28"/>
        <v/>
      </c>
      <c r="AH335" s="20" t="e">
        <f>+VLOOKUP(AG335,Catálogo!E:F,2,0)</f>
        <v>#N/A</v>
      </c>
    </row>
    <row r="336" spans="33:34">
      <c r="AG336" s="20" t="str">
        <f t="shared" si="28"/>
        <v/>
      </c>
      <c r="AH336" s="20" t="e">
        <f>+VLOOKUP(AG336,Catálogo!E:F,2,0)</f>
        <v>#N/A</v>
      </c>
    </row>
    <row r="337" spans="33:34">
      <c r="AG337" s="20" t="str">
        <f t="shared" si="28"/>
        <v/>
      </c>
      <c r="AH337" s="20" t="e">
        <f>+VLOOKUP(AG337,Catálogo!E:F,2,0)</f>
        <v>#N/A</v>
      </c>
    </row>
    <row r="338" spans="33:34">
      <c r="AG338" s="20" t="str">
        <f t="shared" si="28"/>
        <v/>
      </c>
      <c r="AH338" s="20" t="e">
        <f>+VLOOKUP(AG338,Catálogo!E:F,2,0)</f>
        <v>#N/A</v>
      </c>
    </row>
    <row r="339" spans="33:34">
      <c r="AG339" s="20" t="str">
        <f t="shared" si="28"/>
        <v/>
      </c>
      <c r="AH339" s="20" t="e">
        <f>+VLOOKUP(AG339,Catálogo!E:F,2,0)</f>
        <v>#N/A</v>
      </c>
    </row>
    <row r="340" spans="33:34">
      <c r="AG340" s="20" t="str">
        <f t="shared" si="28"/>
        <v/>
      </c>
      <c r="AH340" s="20" t="e">
        <f>+VLOOKUP(AG340,Catálogo!E:F,2,0)</f>
        <v>#N/A</v>
      </c>
    </row>
    <row r="341" spans="33:34">
      <c r="AG341" s="20" t="str">
        <f t="shared" si="28"/>
        <v/>
      </c>
      <c r="AH341" s="20" t="e">
        <f>+VLOOKUP(AG341,Catálogo!E:F,2,0)</f>
        <v>#N/A</v>
      </c>
    </row>
    <row r="342" spans="33:34">
      <c r="AG342" s="20" t="str">
        <f t="shared" si="28"/>
        <v/>
      </c>
      <c r="AH342" s="20" t="e">
        <f>+VLOOKUP(AG342,Catálogo!E:F,2,0)</f>
        <v>#N/A</v>
      </c>
    </row>
    <row r="343" spans="33:34">
      <c r="AG343" s="20" t="str">
        <f t="shared" si="28"/>
        <v/>
      </c>
      <c r="AH343" s="20" t="e">
        <f>+VLOOKUP(AG343,Catálogo!E:F,2,0)</f>
        <v>#N/A</v>
      </c>
    </row>
    <row r="344" spans="33:34">
      <c r="AG344" s="20" t="str">
        <f t="shared" si="28"/>
        <v/>
      </c>
      <c r="AH344" s="20" t="e">
        <f>+VLOOKUP(AG344,Catálogo!E:F,2,0)</f>
        <v>#N/A</v>
      </c>
    </row>
    <row r="345" spans="33:34">
      <c r="AG345" s="20" t="str">
        <f t="shared" si="28"/>
        <v/>
      </c>
      <c r="AH345" s="20" t="e">
        <f>+VLOOKUP(AG345,Catálogo!E:F,2,0)</f>
        <v>#N/A</v>
      </c>
    </row>
    <row r="346" spans="33:34">
      <c r="AG346" s="20" t="str">
        <f t="shared" si="28"/>
        <v/>
      </c>
      <c r="AH346" s="20" t="e">
        <f>+VLOOKUP(AG346,Catálogo!E:F,2,0)</f>
        <v>#N/A</v>
      </c>
    </row>
    <row r="347" spans="33:34">
      <c r="AG347" s="20" t="str">
        <f t="shared" si="28"/>
        <v/>
      </c>
      <c r="AH347" s="20" t="e">
        <f>+VLOOKUP(AG347,Catálogo!E:F,2,0)</f>
        <v>#N/A</v>
      </c>
    </row>
    <row r="348" spans="33:34">
      <c r="AG348" s="20" t="str">
        <f t="shared" si="28"/>
        <v/>
      </c>
      <c r="AH348" s="20" t="e">
        <f>+VLOOKUP(AG348,Catálogo!E:F,2,0)</f>
        <v>#N/A</v>
      </c>
    </row>
    <row r="349" spans="33:34">
      <c r="AG349" s="20" t="str">
        <f t="shared" si="28"/>
        <v/>
      </c>
      <c r="AH349" s="20" t="e">
        <f>+VLOOKUP(AG349,Catálogo!E:F,2,0)</f>
        <v>#N/A</v>
      </c>
    </row>
    <row r="350" spans="33:34">
      <c r="AG350" s="20" t="str">
        <f t="shared" si="28"/>
        <v/>
      </c>
      <c r="AH350" s="20" t="e">
        <f>+VLOOKUP(AG350,Catálogo!E:F,2,0)</f>
        <v>#N/A</v>
      </c>
    </row>
    <row r="351" spans="33:34">
      <c r="AG351" s="20" t="str">
        <f t="shared" si="28"/>
        <v/>
      </c>
      <c r="AH351" s="20" t="e">
        <f>+VLOOKUP(AG351,Catálogo!E:F,2,0)</f>
        <v>#N/A</v>
      </c>
    </row>
    <row r="352" spans="33:34">
      <c r="AG352" s="20" t="str">
        <f t="shared" si="28"/>
        <v/>
      </c>
      <c r="AH352" s="20" t="e">
        <f>+VLOOKUP(AG352,Catálogo!E:F,2,0)</f>
        <v>#N/A</v>
      </c>
    </row>
    <row r="353" spans="33:34">
      <c r="AG353" s="20" t="str">
        <f t="shared" si="28"/>
        <v/>
      </c>
      <c r="AH353" s="20" t="e">
        <f>+VLOOKUP(AG353,Catálogo!E:F,2,0)</f>
        <v>#N/A</v>
      </c>
    </row>
    <row r="354" spans="33:34">
      <c r="AG354" s="20" t="str">
        <f t="shared" si="28"/>
        <v/>
      </c>
      <c r="AH354" s="20" t="e">
        <f>+VLOOKUP(AG354,Catálogo!E:F,2,0)</f>
        <v>#N/A</v>
      </c>
    </row>
    <row r="355" spans="33:34">
      <c r="AG355" s="20" t="str">
        <f t="shared" si="28"/>
        <v/>
      </c>
      <c r="AH355" s="20" t="e">
        <f>+VLOOKUP(AG355,Catálogo!E:F,2,0)</f>
        <v>#N/A</v>
      </c>
    </row>
    <row r="356" spans="33:34">
      <c r="AG356" s="20" t="str">
        <f t="shared" si="28"/>
        <v/>
      </c>
      <c r="AH356" s="20" t="e">
        <f>+VLOOKUP(AG356,Catálogo!E:F,2,0)</f>
        <v>#N/A</v>
      </c>
    </row>
    <row r="357" spans="33:34">
      <c r="AG357" s="20" t="str">
        <f t="shared" si="28"/>
        <v/>
      </c>
      <c r="AH357" s="20" t="e">
        <f>+VLOOKUP(AG357,Catálogo!E:F,2,0)</f>
        <v>#N/A</v>
      </c>
    </row>
    <row r="358" spans="33:34">
      <c r="AG358" s="20" t="str">
        <f t="shared" si="28"/>
        <v/>
      </c>
      <c r="AH358" s="20" t="e">
        <f>+VLOOKUP(AG358,Catálogo!E:F,2,0)</f>
        <v>#N/A</v>
      </c>
    </row>
    <row r="359" spans="33:34">
      <c r="AG359" s="20" t="str">
        <f t="shared" si="28"/>
        <v/>
      </c>
      <c r="AH359" s="20" t="e">
        <f>+VLOOKUP(AG359,Catálogo!E:F,2,0)</f>
        <v>#N/A</v>
      </c>
    </row>
    <row r="360" spans="33:34">
      <c r="AG360" s="20" t="str">
        <f t="shared" si="28"/>
        <v/>
      </c>
      <c r="AH360" s="20" t="e">
        <f>+VLOOKUP(AG360,Catálogo!E:F,2,0)</f>
        <v>#N/A</v>
      </c>
    </row>
    <row r="361" spans="33:34">
      <c r="AG361" s="20" t="str">
        <f t="shared" si="28"/>
        <v/>
      </c>
      <c r="AH361" s="20" t="e">
        <f>+VLOOKUP(AG361,Catálogo!E:F,2,0)</f>
        <v>#N/A</v>
      </c>
    </row>
    <row r="362" spans="33:34">
      <c r="AG362" s="20" t="str">
        <f t="shared" si="28"/>
        <v/>
      </c>
      <c r="AH362" s="20" t="e">
        <f>+VLOOKUP(AG362,Catálogo!E:F,2,0)</f>
        <v>#N/A</v>
      </c>
    </row>
    <row r="363" spans="33:34">
      <c r="AG363" s="20" t="str">
        <f t="shared" si="28"/>
        <v/>
      </c>
      <c r="AH363" s="20" t="e">
        <f>+VLOOKUP(AG363,Catálogo!E:F,2,0)</f>
        <v>#N/A</v>
      </c>
    </row>
    <row r="364" spans="33:34">
      <c r="AG364" s="20" t="str">
        <f t="shared" si="28"/>
        <v/>
      </c>
      <c r="AH364" s="20" t="e">
        <f>+VLOOKUP(AG364,Catálogo!E:F,2,0)</f>
        <v>#N/A</v>
      </c>
    </row>
    <row r="365" spans="33:34">
      <c r="AG365" s="20" t="str">
        <f t="shared" si="28"/>
        <v/>
      </c>
      <c r="AH365" s="20" t="e">
        <f>+VLOOKUP(AG365,Catálogo!E:F,2,0)</f>
        <v>#N/A</v>
      </c>
    </row>
    <row r="366" spans="33:34">
      <c r="AG366" s="20" t="str">
        <f t="shared" si="28"/>
        <v/>
      </c>
      <c r="AH366" s="20" t="e">
        <f>+VLOOKUP(AG366,Catálogo!E:F,2,0)</f>
        <v>#N/A</v>
      </c>
    </row>
    <row r="367" spans="33:34">
      <c r="AG367" s="20" t="str">
        <f t="shared" si="28"/>
        <v/>
      </c>
      <c r="AH367" s="20" t="e">
        <f>+VLOOKUP(AG367,Catálogo!E:F,2,0)</f>
        <v>#N/A</v>
      </c>
    </row>
    <row r="368" spans="33:34">
      <c r="AG368" s="20" t="str">
        <f t="shared" si="28"/>
        <v/>
      </c>
      <c r="AH368" s="20" t="e">
        <f>+VLOOKUP(AG368,Catálogo!E:F,2,0)</f>
        <v>#N/A</v>
      </c>
    </row>
    <row r="369" spans="33:34">
      <c r="AG369" s="20" t="str">
        <f t="shared" si="28"/>
        <v/>
      </c>
      <c r="AH369" s="20" t="e">
        <f>+VLOOKUP(AG369,Catálogo!E:F,2,0)</f>
        <v>#N/A</v>
      </c>
    </row>
    <row r="370" spans="33:34">
      <c r="AG370" s="20" t="str">
        <f t="shared" si="28"/>
        <v/>
      </c>
      <c r="AH370" s="20" t="e">
        <f>+VLOOKUP(AG370,Catálogo!E:F,2,0)</f>
        <v>#N/A</v>
      </c>
    </row>
    <row r="371" spans="33:34">
      <c r="AG371" s="20" t="str">
        <f t="shared" si="28"/>
        <v/>
      </c>
      <c r="AH371" s="20" t="e">
        <f>+VLOOKUP(AG371,Catálogo!E:F,2,0)</f>
        <v>#N/A</v>
      </c>
    </row>
    <row r="372" spans="33:34">
      <c r="AG372" s="20" t="str">
        <f t="shared" si="28"/>
        <v/>
      </c>
      <c r="AH372" s="20" t="e">
        <f>+VLOOKUP(AG372,Catálogo!E:F,2,0)</f>
        <v>#N/A</v>
      </c>
    </row>
    <row r="373" spans="33:34">
      <c r="AG373" s="20" t="str">
        <f t="shared" si="28"/>
        <v/>
      </c>
      <c r="AH373" s="20" t="e">
        <f>+VLOOKUP(AG373,Catálogo!E:F,2,0)</f>
        <v>#N/A</v>
      </c>
    </row>
    <row r="374" spans="33:34">
      <c r="AG374" s="20" t="str">
        <f t="shared" si="28"/>
        <v/>
      </c>
      <c r="AH374" s="20" t="e">
        <f>+VLOOKUP(AG374,Catálogo!E:F,2,0)</f>
        <v>#N/A</v>
      </c>
    </row>
    <row r="375" spans="33:34">
      <c r="AG375" s="20" t="str">
        <f t="shared" si="28"/>
        <v/>
      </c>
      <c r="AH375" s="20" t="e">
        <f>+VLOOKUP(AG375,Catálogo!E:F,2,0)</f>
        <v>#N/A</v>
      </c>
    </row>
    <row r="376" spans="33:34">
      <c r="AG376" s="20" t="str">
        <f t="shared" si="28"/>
        <v/>
      </c>
      <c r="AH376" s="20" t="e">
        <f>+VLOOKUP(AG376,Catálogo!E:F,2,0)</f>
        <v>#N/A</v>
      </c>
    </row>
    <row r="377" spans="33:34">
      <c r="AG377" s="20" t="str">
        <f t="shared" si="28"/>
        <v/>
      </c>
      <c r="AH377" s="20" t="e">
        <f>+VLOOKUP(AG377,Catálogo!E:F,2,0)</f>
        <v>#N/A</v>
      </c>
    </row>
    <row r="378" spans="33:34">
      <c r="AG378" s="20" t="str">
        <f t="shared" si="28"/>
        <v/>
      </c>
      <c r="AH378" s="20" t="e">
        <f>+VLOOKUP(AG378,Catálogo!E:F,2,0)</f>
        <v>#N/A</v>
      </c>
    </row>
    <row r="379" spans="33:34">
      <c r="AG379" s="20" t="str">
        <f t="shared" si="28"/>
        <v/>
      </c>
      <c r="AH379" s="20" t="e">
        <f>+VLOOKUP(AG379,Catálogo!E:F,2,0)</f>
        <v>#N/A</v>
      </c>
    </row>
    <row r="380" spans="33:34">
      <c r="AG380" s="20" t="str">
        <f t="shared" si="28"/>
        <v/>
      </c>
      <c r="AH380" s="20" t="e">
        <f>+VLOOKUP(AG380,Catálogo!E:F,2,0)</f>
        <v>#N/A</v>
      </c>
    </row>
    <row r="381" spans="33:34">
      <c r="AG381" s="20" t="str">
        <f t="shared" si="28"/>
        <v/>
      </c>
      <c r="AH381" s="20" t="e">
        <f>+VLOOKUP(AG381,Catálogo!E:F,2,0)</f>
        <v>#N/A</v>
      </c>
    </row>
    <row r="382" spans="33:34">
      <c r="AG382" s="20" t="str">
        <f t="shared" si="28"/>
        <v/>
      </c>
      <c r="AH382" s="20" t="e">
        <f>+VLOOKUP(AG382,Catálogo!E:F,2,0)</f>
        <v>#N/A</v>
      </c>
    </row>
    <row r="383" spans="33:34">
      <c r="AG383" s="20" t="str">
        <f t="shared" si="28"/>
        <v/>
      </c>
      <c r="AH383" s="20" t="e">
        <f>+VLOOKUP(AG383,Catálogo!E:F,2,0)</f>
        <v>#N/A</v>
      </c>
    </row>
    <row r="384" spans="33:34">
      <c r="AG384" s="20" t="str">
        <f t="shared" si="28"/>
        <v/>
      </c>
      <c r="AH384" s="20" t="e">
        <f>+VLOOKUP(AG384,Catálogo!E:F,2,0)</f>
        <v>#N/A</v>
      </c>
    </row>
    <row r="385" spans="33:34">
      <c r="AG385" s="20" t="str">
        <f t="shared" si="28"/>
        <v/>
      </c>
      <c r="AH385" s="20" t="e">
        <f>+VLOOKUP(AG385,Catálogo!E:F,2,0)</f>
        <v>#N/A</v>
      </c>
    </row>
    <row r="386" spans="33:34">
      <c r="AG386" s="20" t="str">
        <f t="shared" si="28"/>
        <v/>
      </c>
      <c r="AH386" s="20" t="e">
        <f>+VLOOKUP(AG386,Catálogo!E:F,2,0)</f>
        <v>#N/A</v>
      </c>
    </row>
    <row r="387" spans="33:34">
      <c r="AG387" s="20" t="str">
        <f t="shared" ref="AG387:AG450" si="29">+CONCATENATE(S387,T387,V387)</f>
        <v/>
      </c>
      <c r="AH387" s="20" t="e">
        <f>+VLOOKUP(AG387,Catálogo!E:F,2,0)</f>
        <v>#N/A</v>
      </c>
    </row>
    <row r="388" spans="33:34">
      <c r="AG388" s="20" t="str">
        <f t="shared" si="29"/>
        <v/>
      </c>
      <c r="AH388" s="20" t="e">
        <f>+VLOOKUP(AG388,Catálogo!E:F,2,0)</f>
        <v>#N/A</v>
      </c>
    </row>
    <row r="389" spans="33:34">
      <c r="AG389" s="20" t="str">
        <f t="shared" si="29"/>
        <v/>
      </c>
      <c r="AH389" s="20" t="e">
        <f>+VLOOKUP(AG389,Catálogo!E:F,2,0)</f>
        <v>#N/A</v>
      </c>
    </row>
    <row r="390" spans="33:34">
      <c r="AG390" s="20" t="str">
        <f t="shared" si="29"/>
        <v/>
      </c>
      <c r="AH390" s="20" t="e">
        <f>+VLOOKUP(AG390,Catálogo!E:F,2,0)</f>
        <v>#N/A</v>
      </c>
    </row>
    <row r="391" spans="33:34">
      <c r="AG391" s="20" t="str">
        <f t="shared" si="29"/>
        <v/>
      </c>
      <c r="AH391" s="20" t="e">
        <f>+VLOOKUP(AG391,Catálogo!E:F,2,0)</f>
        <v>#N/A</v>
      </c>
    </row>
    <row r="392" spans="33:34">
      <c r="AG392" s="20" t="str">
        <f t="shared" si="29"/>
        <v/>
      </c>
      <c r="AH392" s="20" t="e">
        <f>+VLOOKUP(AG392,Catálogo!E:F,2,0)</f>
        <v>#N/A</v>
      </c>
    </row>
    <row r="393" spans="33:34">
      <c r="AG393" s="20" t="str">
        <f t="shared" si="29"/>
        <v/>
      </c>
      <c r="AH393" s="20" t="e">
        <f>+VLOOKUP(AG393,Catálogo!E:F,2,0)</f>
        <v>#N/A</v>
      </c>
    </row>
    <row r="394" spans="33:34">
      <c r="AG394" s="20" t="str">
        <f t="shared" si="29"/>
        <v/>
      </c>
      <c r="AH394" s="20" t="e">
        <f>+VLOOKUP(AG394,Catálogo!E:F,2,0)</f>
        <v>#N/A</v>
      </c>
    </row>
    <row r="395" spans="33:34">
      <c r="AG395" s="20" t="str">
        <f t="shared" si="29"/>
        <v/>
      </c>
      <c r="AH395" s="20" t="e">
        <f>+VLOOKUP(AG395,Catálogo!E:F,2,0)</f>
        <v>#N/A</v>
      </c>
    </row>
    <row r="396" spans="33:34">
      <c r="AG396" s="20" t="str">
        <f t="shared" si="29"/>
        <v/>
      </c>
      <c r="AH396" s="20" t="e">
        <f>+VLOOKUP(AG396,Catálogo!E:F,2,0)</f>
        <v>#N/A</v>
      </c>
    </row>
    <row r="397" spans="33:34">
      <c r="AG397" s="20" t="str">
        <f t="shared" si="29"/>
        <v/>
      </c>
      <c r="AH397" s="20" t="e">
        <f>+VLOOKUP(AG397,Catálogo!E:F,2,0)</f>
        <v>#N/A</v>
      </c>
    </row>
    <row r="398" spans="33:34">
      <c r="AG398" s="20" t="str">
        <f t="shared" si="29"/>
        <v/>
      </c>
      <c r="AH398" s="20" t="e">
        <f>+VLOOKUP(AG398,Catálogo!E:F,2,0)</f>
        <v>#N/A</v>
      </c>
    </row>
    <row r="399" spans="33:34">
      <c r="AG399" s="20" t="str">
        <f t="shared" si="29"/>
        <v/>
      </c>
      <c r="AH399" s="20" t="e">
        <f>+VLOOKUP(AG399,Catálogo!E:F,2,0)</f>
        <v>#N/A</v>
      </c>
    </row>
    <row r="400" spans="33:34">
      <c r="AG400" s="20" t="str">
        <f t="shared" si="29"/>
        <v/>
      </c>
      <c r="AH400" s="20" t="e">
        <f>+VLOOKUP(AG400,Catálogo!E:F,2,0)</f>
        <v>#N/A</v>
      </c>
    </row>
    <row r="401" spans="33:34">
      <c r="AG401" s="20" t="str">
        <f t="shared" si="29"/>
        <v/>
      </c>
      <c r="AH401" s="20" t="e">
        <f>+VLOOKUP(AG401,Catálogo!E:F,2,0)</f>
        <v>#N/A</v>
      </c>
    </row>
    <row r="402" spans="33:34">
      <c r="AG402" s="20" t="str">
        <f t="shared" si="29"/>
        <v/>
      </c>
      <c r="AH402" s="20" t="e">
        <f>+VLOOKUP(AG402,Catálogo!E:F,2,0)</f>
        <v>#N/A</v>
      </c>
    </row>
    <row r="403" spans="33:34">
      <c r="AG403" s="20" t="str">
        <f t="shared" si="29"/>
        <v/>
      </c>
      <c r="AH403" s="20" t="e">
        <f>+VLOOKUP(AG403,Catálogo!E:F,2,0)</f>
        <v>#N/A</v>
      </c>
    </row>
    <row r="404" spans="33:34">
      <c r="AG404" s="20" t="str">
        <f t="shared" si="29"/>
        <v/>
      </c>
      <c r="AH404" s="20" t="e">
        <f>+VLOOKUP(AG404,Catálogo!E:F,2,0)</f>
        <v>#N/A</v>
      </c>
    </row>
    <row r="405" spans="33:34">
      <c r="AG405" s="20" t="str">
        <f t="shared" si="29"/>
        <v/>
      </c>
      <c r="AH405" s="20" t="e">
        <f>+VLOOKUP(AG405,Catálogo!E:F,2,0)</f>
        <v>#N/A</v>
      </c>
    </row>
    <row r="406" spans="33:34">
      <c r="AG406" s="20" t="str">
        <f t="shared" si="29"/>
        <v/>
      </c>
      <c r="AH406" s="20" t="e">
        <f>+VLOOKUP(AG406,Catálogo!E:F,2,0)</f>
        <v>#N/A</v>
      </c>
    </row>
    <row r="407" spans="33:34">
      <c r="AG407" s="20" t="str">
        <f t="shared" si="29"/>
        <v/>
      </c>
      <c r="AH407" s="20" t="e">
        <f>+VLOOKUP(AG407,Catálogo!E:F,2,0)</f>
        <v>#N/A</v>
      </c>
    </row>
    <row r="408" spans="33:34">
      <c r="AG408" s="20" t="str">
        <f t="shared" si="29"/>
        <v/>
      </c>
      <c r="AH408" s="20" t="e">
        <f>+VLOOKUP(AG408,Catálogo!E:F,2,0)</f>
        <v>#N/A</v>
      </c>
    </row>
    <row r="409" spans="33:34">
      <c r="AG409" s="20" t="str">
        <f t="shared" si="29"/>
        <v/>
      </c>
      <c r="AH409" s="20" t="e">
        <f>+VLOOKUP(AG409,Catálogo!E:F,2,0)</f>
        <v>#N/A</v>
      </c>
    </row>
    <row r="410" spans="33:34">
      <c r="AG410" s="20" t="str">
        <f t="shared" si="29"/>
        <v/>
      </c>
      <c r="AH410" s="20" t="e">
        <f>+VLOOKUP(AG410,Catálogo!E:F,2,0)</f>
        <v>#N/A</v>
      </c>
    </row>
    <row r="411" spans="33:34">
      <c r="AG411" s="20" t="str">
        <f t="shared" si="29"/>
        <v/>
      </c>
      <c r="AH411" s="20" t="e">
        <f>+VLOOKUP(AG411,Catálogo!E:F,2,0)</f>
        <v>#N/A</v>
      </c>
    </row>
    <row r="412" spans="33:34">
      <c r="AG412" s="20" t="str">
        <f t="shared" si="29"/>
        <v/>
      </c>
      <c r="AH412" s="20" t="e">
        <f>+VLOOKUP(AG412,Catálogo!E:F,2,0)</f>
        <v>#N/A</v>
      </c>
    </row>
    <row r="413" spans="33:34">
      <c r="AG413" s="20" t="str">
        <f t="shared" si="29"/>
        <v/>
      </c>
      <c r="AH413" s="20" t="e">
        <f>+VLOOKUP(AG413,Catálogo!E:F,2,0)</f>
        <v>#N/A</v>
      </c>
    </row>
    <row r="414" spans="33:34">
      <c r="AG414" s="20" t="str">
        <f t="shared" si="29"/>
        <v/>
      </c>
      <c r="AH414" s="20" t="e">
        <f>+VLOOKUP(AG414,Catálogo!E:F,2,0)</f>
        <v>#N/A</v>
      </c>
    </row>
    <row r="415" spans="33:34">
      <c r="AG415" s="20" t="str">
        <f t="shared" si="29"/>
        <v/>
      </c>
      <c r="AH415" s="20" t="e">
        <f>+VLOOKUP(AG415,Catálogo!E:F,2,0)</f>
        <v>#N/A</v>
      </c>
    </row>
    <row r="416" spans="33:34">
      <c r="AG416" s="20" t="str">
        <f t="shared" si="29"/>
        <v/>
      </c>
      <c r="AH416" s="20" t="e">
        <f>+VLOOKUP(AG416,Catálogo!E:F,2,0)</f>
        <v>#N/A</v>
      </c>
    </row>
    <row r="417" spans="33:34">
      <c r="AG417" s="20" t="str">
        <f t="shared" si="29"/>
        <v/>
      </c>
      <c r="AH417" s="20" t="e">
        <f>+VLOOKUP(AG417,Catálogo!E:F,2,0)</f>
        <v>#N/A</v>
      </c>
    </row>
    <row r="418" spans="33:34">
      <c r="AG418" s="20" t="str">
        <f t="shared" si="29"/>
        <v/>
      </c>
      <c r="AH418" s="20" t="e">
        <f>+VLOOKUP(AG418,Catálogo!E:F,2,0)</f>
        <v>#N/A</v>
      </c>
    </row>
    <row r="419" spans="33:34">
      <c r="AG419" s="20" t="str">
        <f t="shared" si="29"/>
        <v/>
      </c>
      <c r="AH419" s="20" t="e">
        <f>+VLOOKUP(AG419,Catálogo!E:F,2,0)</f>
        <v>#N/A</v>
      </c>
    </row>
    <row r="420" spans="33:34">
      <c r="AG420" s="20" t="str">
        <f t="shared" si="29"/>
        <v/>
      </c>
      <c r="AH420" s="20" t="e">
        <f>+VLOOKUP(AG420,Catálogo!E:F,2,0)</f>
        <v>#N/A</v>
      </c>
    </row>
    <row r="421" spans="33:34">
      <c r="AG421" s="20" t="str">
        <f t="shared" si="29"/>
        <v/>
      </c>
      <c r="AH421" s="20" t="e">
        <f>+VLOOKUP(AG421,Catálogo!E:F,2,0)</f>
        <v>#N/A</v>
      </c>
    </row>
    <row r="422" spans="33:34">
      <c r="AG422" s="20" t="str">
        <f t="shared" si="29"/>
        <v/>
      </c>
      <c r="AH422" s="20" t="e">
        <f>+VLOOKUP(AG422,Catálogo!E:F,2,0)</f>
        <v>#N/A</v>
      </c>
    </row>
    <row r="423" spans="33:34">
      <c r="AG423" s="20" t="str">
        <f t="shared" si="29"/>
        <v/>
      </c>
      <c r="AH423" s="20" t="e">
        <f>+VLOOKUP(AG423,Catálogo!E:F,2,0)</f>
        <v>#N/A</v>
      </c>
    </row>
    <row r="424" spans="33:34">
      <c r="AG424" s="20" t="str">
        <f t="shared" si="29"/>
        <v/>
      </c>
      <c r="AH424" s="20" t="e">
        <f>+VLOOKUP(AG424,Catálogo!E:F,2,0)</f>
        <v>#N/A</v>
      </c>
    </row>
    <row r="425" spans="33:34">
      <c r="AG425" s="20" t="str">
        <f t="shared" si="29"/>
        <v/>
      </c>
      <c r="AH425" s="20" t="e">
        <f>+VLOOKUP(AG425,Catálogo!E:F,2,0)</f>
        <v>#N/A</v>
      </c>
    </row>
    <row r="426" spans="33:34">
      <c r="AG426" s="20" t="str">
        <f t="shared" si="29"/>
        <v/>
      </c>
      <c r="AH426" s="20" t="e">
        <f>+VLOOKUP(AG426,Catálogo!E:F,2,0)</f>
        <v>#N/A</v>
      </c>
    </row>
    <row r="427" spans="33:34">
      <c r="AG427" s="20" t="str">
        <f t="shared" si="29"/>
        <v/>
      </c>
      <c r="AH427" s="20" t="e">
        <f>+VLOOKUP(AG427,Catálogo!E:F,2,0)</f>
        <v>#N/A</v>
      </c>
    </row>
    <row r="428" spans="33:34">
      <c r="AG428" s="20" t="str">
        <f t="shared" si="29"/>
        <v/>
      </c>
      <c r="AH428" s="20" t="e">
        <f>+VLOOKUP(AG428,Catálogo!E:F,2,0)</f>
        <v>#N/A</v>
      </c>
    </row>
    <row r="429" spans="33:34">
      <c r="AG429" s="20" t="str">
        <f t="shared" si="29"/>
        <v/>
      </c>
      <c r="AH429" s="20" t="e">
        <f>+VLOOKUP(AG429,Catálogo!E:F,2,0)</f>
        <v>#N/A</v>
      </c>
    </row>
    <row r="430" spans="33:34">
      <c r="AG430" s="20" t="str">
        <f t="shared" si="29"/>
        <v/>
      </c>
      <c r="AH430" s="20" t="e">
        <f>+VLOOKUP(AG430,Catálogo!E:F,2,0)</f>
        <v>#N/A</v>
      </c>
    </row>
    <row r="431" spans="33:34">
      <c r="AG431" s="20" t="str">
        <f t="shared" si="29"/>
        <v/>
      </c>
      <c r="AH431" s="20" t="e">
        <f>+VLOOKUP(AG431,Catálogo!E:F,2,0)</f>
        <v>#N/A</v>
      </c>
    </row>
    <row r="432" spans="33:34">
      <c r="AG432" s="20" t="str">
        <f t="shared" si="29"/>
        <v/>
      </c>
      <c r="AH432" s="20" t="e">
        <f>+VLOOKUP(AG432,Catálogo!E:F,2,0)</f>
        <v>#N/A</v>
      </c>
    </row>
    <row r="433" spans="33:34">
      <c r="AG433" s="20" t="str">
        <f t="shared" si="29"/>
        <v/>
      </c>
      <c r="AH433" s="20" t="e">
        <f>+VLOOKUP(AG433,Catálogo!E:F,2,0)</f>
        <v>#N/A</v>
      </c>
    </row>
    <row r="434" spans="33:34">
      <c r="AG434" s="20" t="str">
        <f t="shared" si="29"/>
        <v/>
      </c>
      <c r="AH434" s="20" t="e">
        <f>+VLOOKUP(AG434,Catálogo!E:F,2,0)</f>
        <v>#N/A</v>
      </c>
    </row>
    <row r="435" spans="33:34">
      <c r="AG435" s="20" t="str">
        <f t="shared" si="29"/>
        <v/>
      </c>
      <c r="AH435" s="20" t="e">
        <f>+VLOOKUP(AG435,Catálogo!E:F,2,0)</f>
        <v>#N/A</v>
      </c>
    </row>
    <row r="436" spans="33:34">
      <c r="AG436" s="20" t="str">
        <f t="shared" si="29"/>
        <v/>
      </c>
      <c r="AH436" s="20" t="e">
        <f>+VLOOKUP(AG436,Catálogo!E:F,2,0)</f>
        <v>#N/A</v>
      </c>
    </row>
    <row r="437" spans="33:34">
      <c r="AG437" s="20" t="str">
        <f t="shared" si="29"/>
        <v/>
      </c>
      <c r="AH437" s="20" t="e">
        <f>+VLOOKUP(AG437,Catálogo!E:F,2,0)</f>
        <v>#N/A</v>
      </c>
    </row>
    <row r="438" spans="33:34">
      <c r="AG438" s="20" t="str">
        <f t="shared" si="29"/>
        <v/>
      </c>
      <c r="AH438" s="20" t="e">
        <f>+VLOOKUP(AG438,Catálogo!E:F,2,0)</f>
        <v>#N/A</v>
      </c>
    </row>
    <row r="439" spans="33:34">
      <c r="AG439" s="20" t="str">
        <f t="shared" si="29"/>
        <v/>
      </c>
      <c r="AH439" s="20" t="e">
        <f>+VLOOKUP(AG439,Catálogo!E:F,2,0)</f>
        <v>#N/A</v>
      </c>
    </row>
    <row r="440" spans="33:34">
      <c r="AG440" s="20" t="str">
        <f t="shared" si="29"/>
        <v/>
      </c>
      <c r="AH440" s="20" t="e">
        <f>+VLOOKUP(AG440,Catálogo!E:F,2,0)</f>
        <v>#N/A</v>
      </c>
    </row>
    <row r="441" spans="33:34">
      <c r="AG441" s="20" t="str">
        <f t="shared" si="29"/>
        <v/>
      </c>
      <c r="AH441" s="20" t="e">
        <f>+VLOOKUP(AG441,Catálogo!E:F,2,0)</f>
        <v>#N/A</v>
      </c>
    </row>
    <row r="442" spans="33:34">
      <c r="AG442" s="20" t="str">
        <f t="shared" si="29"/>
        <v/>
      </c>
      <c r="AH442" s="20" t="e">
        <f>+VLOOKUP(AG442,Catálogo!E:F,2,0)</f>
        <v>#N/A</v>
      </c>
    </row>
    <row r="443" spans="33:34">
      <c r="AG443" s="20" t="str">
        <f t="shared" si="29"/>
        <v/>
      </c>
      <c r="AH443" s="20" t="e">
        <f>+VLOOKUP(AG443,Catálogo!E:F,2,0)</f>
        <v>#N/A</v>
      </c>
    </row>
    <row r="444" spans="33:34">
      <c r="AG444" s="20" t="str">
        <f t="shared" si="29"/>
        <v/>
      </c>
      <c r="AH444" s="20" t="e">
        <f>+VLOOKUP(AG444,Catálogo!E:F,2,0)</f>
        <v>#N/A</v>
      </c>
    </row>
    <row r="445" spans="33:34">
      <c r="AG445" s="20" t="str">
        <f t="shared" si="29"/>
        <v/>
      </c>
      <c r="AH445" s="20" t="e">
        <f>+VLOOKUP(AG445,Catálogo!E:F,2,0)</f>
        <v>#N/A</v>
      </c>
    </row>
    <row r="446" spans="33:34">
      <c r="AG446" s="20" t="str">
        <f t="shared" si="29"/>
        <v/>
      </c>
      <c r="AH446" s="20" t="e">
        <f>+VLOOKUP(AG446,Catálogo!E:F,2,0)</f>
        <v>#N/A</v>
      </c>
    </row>
    <row r="447" spans="33:34">
      <c r="AG447" s="20" t="str">
        <f t="shared" si="29"/>
        <v/>
      </c>
      <c r="AH447" s="20" t="e">
        <f>+VLOOKUP(AG447,Catálogo!E:F,2,0)</f>
        <v>#N/A</v>
      </c>
    </row>
    <row r="448" spans="33:34">
      <c r="AG448" s="20" t="str">
        <f t="shared" si="29"/>
        <v/>
      </c>
      <c r="AH448" s="20" t="e">
        <f>+VLOOKUP(AG448,Catálogo!E:F,2,0)</f>
        <v>#N/A</v>
      </c>
    </row>
    <row r="449" spans="33:34">
      <c r="AG449" s="20" t="str">
        <f t="shared" si="29"/>
        <v/>
      </c>
      <c r="AH449" s="20" t="e">
        <f>+VLOOKUP(AG449,Catálogo!E:F,2,0)</f>
        <v>#N/A</v>
      </c>
    </row>
    <row r="450" spans="33:34">
      <c r="AG450" s="20" t="str">
        <f t="shared" si="29"/>
        <v/>
      </c>
      <c r="AH450" s="20" t="e">
        <f>+VLOOKUP(AG450,Catálogo!E:F,2,0)</f>
        <v>#N/A</v>
      </c>
    </row>
    <row r="451" spans="33:34">
      <c r="AG451" s="20" t="str">
        <f t="shared" ref="AG451:AG514" si="30">+CONCATENATE(S451,T451,V451)</f>
        <v/>
      </c>
      <c r="AH451" s="20" t="e">
        <f>+VLOOKUP(AG451,Catálogo!E:F,2,0)</f>
        <v>#N/A</v>
      </c>
    </row>
    <row r="452" spans="33:34">
      <c r="AG452" s="20" t="str">
        <f t="shared" si="30"/>
        <v/>
      </c>
      <c r="AH452" s="20" t="e">
        <f>+VLOOKUP(AG452,Catálogo!E:F,2,0)</f>
        <v>#N/A</v>
      </c>
    </row>
    <row r="453" spans="33:34">
      <c r="AG453" s="20" t="str">
        <f t="shared" si="30"/>
        <v/>
      </c>
      <c r="AH453" s="20" t="e">
        <f>+VLOOKUP(AG453,Catálogo!E:F,2,0)</f>
        <v>#N/A</v>
      </c>
    </row>
    <row r="454" spans="33:34">
      <c r="AG454" s="20" t="str">
        <f t="shared" si="30"/>
        <v/>
      </c>
      <c r="AH454" s="20" t="e">
        <f>+VLOOKUP(AG454,Catálogo!E:F,2,0)</f>
        <v>#N/A</v>
      </c>
    </row>
    <row r="455" spans="33:34">
      <c r="AG455" s="20" t="str">
        <f t="shared" si="30"/>
        <v/>
      </c>
      <c r="AH455" s="20" t="e">
        <f>+VLOOKUP(AG455,Catálogo!E:F,2,0)</f>
        <v>#N/A</v>
      </c>
    </row>
    <row r="456" spans="33:34">
      <c r="AG456" s="20" t="str">
        <f t="shared" si="30"/>
        <v/>
      </c>
      <c r="AH456" s="20" t="e">
        <f>+VLOOKUP(AG456,Catálogo!E:F,2,0)</f>
        <v>#N/A</v>
      </c>
    </row>
    <row r="457" spans="33:34">
      <c r="AG457" s="20" t="str">
        <f t="shared" si="30"/>
        <v/>
      </c>
      <c r="AH457" s="20" t="e">
        <f>+VLOOKUP(AG457,Catálogo!E:F,2,0)</f>
        <v>#N/A</v>
      </c>
    </row>
    <row r="458" spans="33:34">
      <c r="AG458" s="20" t="str">
        <f t="shared" si="30"/>
        <v/>
      </c>
      <c r="AH458" s="20" t="e">
        <f>+VLOOKUP(AG458,Catálogo!E:F,2,0)</f>
        <v>#N/A</v>
      </c>
    </row>
    <row r="459" spans="33:34">
      <c r="AG459" s="20" t="str">
        <f t="shared" si="30"/>
        <v/>
      </c>
      <c r="AH459" s="20" t="e">
        <f>+VLOOKUP(AG459,Catálogo!E:F,2,0)</f>
        <v>#N/A</v>
      </c>
    </row>
    <row r="460" spans="33:34">
      <c r="AG460" s="20" t="str">
        <f t="shared" si="30"/>
        <v/>
      </c>
      <c r="AH460" s="20" t="e">
        <f>+VLOOKUP(AG460,Catálogo!E:F,2,0)</f>
        <v>#N/A</v>
      </c>
    </row>
    <row r="461" spans="33:34">
      <c r="AG461" s="20" t="str">
        <f t="shared" si="30"/>
        <v/>
      </c>
      <c r="AH461" s="20" t="e">
        <f>+VLOOKUP(AG461,Catálogo!E:F,2,0)</f>
        <v>#N/A</v>
      </c>
    </row>
    <row r="462" spans="33:34">
      <c r="AG462" s="20" t="str">
        <f t="shared" si="30"/>
        <v/>
      </c>
      <c r="AH462" s="20" t="e">
        <f>+VLOOKUP(AG462,Catálogo!E:F,2,0)</f>
        <v>#N/A</v>
      </c>
    </row>
    <row r="463" spans="33:34">
      <c r="AG463" s="20" t="str">
        <f t="shared" si="30"/>
        <v/>
      </c>
      <c r="AH463" s="20" t="e">
        <f>+VLOOKUP(AG463,Catálogo!E:F,2,0)</f>
        <v>#N/A</v>
      </c>
    </row>
    <row r="464" spans="33:34">
      <c r="AG464" s="20" t="str">
        <f t="shared" si="30"/>
        <v/>
      </c>
      <c r="AH464" s="20" t="e">
        <f>+VLOOKUP(AG464,Catálogo!E:F,2,0)</f>
        <v>#N/A</v>
      </c>
    </row>
    <row r="465" spans="33:34">
      <c r="AG465" s="20" t="str">
        <f t="shared" si="30"/>
        <v/>
      </c>
      <c r="AH465" s="20" t="e">
        <f>+VLOOKUP(AG465,Catálogo!E:F,2,0)</f>
        <v>#N/A</v>
      </c>
    </row>
    <row r="466" spans="33:34">
      <c r="AG466" s="20" t="str">
        <f t="shared" si="30"/>
        <v/>
      </c>
      <c r="AH466" s="20" t="e">
        <f>+VLOOKUP(AG466,Catálogo!E:F,2,0)</f>
        <v>#N/A</v>
      </c>
    </row>
    <row r="467" spans="33:34">
      <c r="AG467" s="20" t="str">
        <f t="shared" si="30"/>
        <v/>
      </c>
      <c r="AH467" s="20" t="e">
        <f>+VLOOKUP(AG467,Catálogo!E:F,2,0)</f>
        <v>#N/A</v>
      </c>
    </row>
    <row r="468" spans="33:34">
      <c r="AG468" s="20" t="str">
        <f t="shared" si="30"/>
        <v/>
      </c>
      <c r="AH468" s="20" t="e">
        <f>+VLOOKUP(AG468,Catálogo!E:F,2,0)</f>
        <v>#N/A</v>
      </c>
    </row>
    <row r="469" spans="33:34">
      <c r="AG469" s="20" t="str">
        <f t="shared" si="30"/>
        <v/>
      </c>
      <c r="AH469" s="20" t="e">
        <f>+VLOOKUP(AG469,Catálogo!E:F,2,0)</f>
        <v>#N/A</v>
      </c>
    </row>
    <row r="470" spans="33:34">
      <c r="AG470" s="20" t="str">
        <f t="shared" si="30"/>
        <v/>
      </c>
      <c r="AH470" s="20" t="e">
        <f>+VLOOKUP(AG470,Catálogo!E:F,2,0)</f>
        <v>#N/A</v>
      </c>
    </row>
    <row r="471" spans="33:34">
      <c r="AG471" s="20" t="str">
        <f t="shared" si="30"/>
        <v/>
      </c>
      <c r="AH471" s="20" t="e">
        <f>+VLOOKUP(AG471,Catálogo!E:F,2,0)</f>
        <v>#N/A</v>
      </c>
    </row>
    <row r="472" spans="33:34">
      <c r="AG472" s="20" t="str">
        <f t="shared" si="30"/>
        <v/>
      </c>
      <c r="AH472" s="20" t="e">
        <f>+VLOOKUP(AG472,Catálogo!E:F,2,0)</f>
        <v>#N/A</v>
      </c>
    </row>
    <row r="473" spans="33:34">
      <c r="AG473" s="20" t="str">
        <f t="shared" si="30"/>
        <v/>
      </c>
      <c r="AH473" s="20" t="e">
        <f>+VLOOKUP(AG473,Catálogo!E:F,2,0)</f>
        <v>#N/A</v>
      </c>
    </row>
    <row r="474" spans="33:34">
      <c r="AG474" s="20" t="str">
        <f t="shared" si="30"/>
        <v/>
      </c>
      <c r="AH474" s="20" t="e">
        <f>+VLOOKUP(AG474,Catálogo!E:F,2,0)</f>
        <v>#N/A</v>
      </c>
    </row>
    <row r="475" spans="33:34">
      <c r="AG475" s="20" t="str">
        <f t="shared" si="30"/>
        <v/>
      </c>
      <c r="AH475" s="20" t="e">
        <f>+VLOOKUP(AG475,Catálogo!E:F,2,0)</f>
        <v>#N/A</v>
      </c>
    </row>
    <row r="476" spans="33:34">
      <c r="AG476" s="20" t="str">
        <f t="shared" si="30"/>
        <v/>
      </c>
      <c r="AH476" s="20" t="e">
        <f>+VLOOKUP(AG476,Catálogo!E:F,2,0)</f>
        <v>#N/A</v>
      </c>
    </row>
    <row r="477" spans="33:34">
      <c r="AG477" s="20" t="str">
        <f t="shared" si="30"/>
        <v/>
      </c>
      <c r="AH477" s="20" t="e">
        <f>+VLOOKUP(AG477,Catálogo!E:F,2,0)</f>
        <v>#N/A</v>
      </c>
    </row>
    <row r="478" spans="33:34">
      <c r="AG478" s="20" t="str">
        <f t="shared" si="30"/>
        <v/>
      </c>
      <c r="AH478" s="20" t="e">
        <f>+VLOOKUP(AG478,Catálogo!E:F,2,0)</f>
        <v>#N/A</v>
      </c>
    </row>
    <row r="479" spans="33:34">
      <c r="AG479" s="20" t="str">
        <f t="shared" si="30"/>
        <v/>
      </c>
      <c r="AH479" s="20" t="e">
        <f>+VLOOKUP(AG479,Catálogo!E:F,2,0)</f>
        <v>#N/A</v>
      </c>
    </row>
    <row r="480" spans="33:34">
      <c r="AG480" s="20" t="str">
        <f t="shared" si="30"/>
        <v/>
      </c>
      <c r="AH480" s="20" t="e">
        <f>+VLOOKUP(AG480,Catálogo!E:F,2,0)</f>
        <v>#N/A</v>
      </c>
    </row>
    <row r="481" spans="33:34">
      <c r="AG481" s="20" t="str">
        <f t="shared" si="30"/>
        <v/>
      </c>
      <c r="AH481" s="20" t="e">
        <f>+VLOOKUP(AG481,Catálogo!E:F,2,0)</f>
        <v>#N/A</v>
      </c>
    </row>
    <row r="482" spans="33:34">
      <c r="AG482" s="20" t="str">
        <f t="shared" si="30"/>
        <v/>
      </c>
      <c r="AH482" s="20" t="e">
        <f>+VLOOKUP(AG482,Catálogo!E:F,2,0)</f>
        <v>#N/A</v>
      </c>
    </row>
    <row r="483" spans="33:34">
      <c r="AG483" s="20" t="str">
        <f t="shared" si="30"/>
        <v/>
      </c>
      <c r="AH483" s="20" t="e">
        <f>+VLOOKUP(AG483,Catálogo!E:F,2,0)</f>
        <v>#N/A</v>
      </c>
    </row>
    <row r="484" spans="33:34">
      <c r="AG484" s="20" t="str">
        <f t="shared" si="30"/>
        <v/>
      </c>
      <c r="AH484" s="20" t="e">
        <f>+VLOOKUP(AG484,Catálogo!E:F,2,0)</f>
        <v>#N/A</v>
      </c>
    </row>
    <row r="485" spans="33:34">
      <c r="AG485" s="20" t="str">
        <f t="shared" si="30"/>
        <v/>
      </c>
      <c r="AH485" s="20" t="e">
        <f>+VLOOKUP(AG485,Catálogo!E:F,2,0)</f>
        <v>#N/A</v>
      </c>
    </row>
    <row r="486" spans="33:34">
      <c r="AG486" s="20" t="str">
        <f t="shared" si="30"/>
        <v/>
      </c>
      <c r="AH486" s="20" t="e">
        <f>+VLOOKUP(AG486,Catálogo!E:F,2,0)</f>
        <v>#N/A</v>
      </c>
    </row>
    <row r="487" spans="33:34">
      <c r="AG487" s="20" t="str">
        <f t="shared" si="30"/>
        <v/>
      </c>
      <c r="AH487" s="20" t="e">
        <f>+VLOOKUP(AG487,Catálogo!E:F,2,0)</f>
        <v>#N/A</v>
      </c>
    </row>
    <row r="488" spans="33:34">
      <c r="AG488" s="20" t="str">
        <f t="shared" si="30"/>
        <v/>
      </c>
      <c r="AH488" s="20" t="e">
        <f>+VLOOKUP(AG488,Catálogo!E:F,2,0)</f>
        <v>#N/A</v>
      </c>
    </row>
    <row r="489" spans="33:34">
      <c r="AG489" s="20" t="str">
        <f t="shared" si="30"/>
        <v/>
      </c>
      <c r="AH489" s="20" t="e">
        <f>+VLOOKUP(AG489,Catálogo!E:F,2,0)</f>
        <v>#N/A</v>
      </c>
    </row>
    <row r="490" spans="33:34">
      <c r="AG490" s="20" t="str">
        <f t="shared" si="30"/>
        <v/>
      </c>
      <c r="AH490" s="20" t="e">
        <f>+VLOOKUP(AG490,Catálogo!E:F,2,0)</f>
        <v>#N/A</v>
      </c>
    </row>
    <row r="491" spans="33:34">
      <c r="AG491" s="20" t="str">
        <f t="shared" si="30"/>
        <v/>
      </c>
      <c r="AH491" s="20" t="e">
        <f>+VLOOKUP(AG491,Catálogo!E:F,2,0)</f>
        <v>#N/A</v>
      </c>
    </row>
    <row r="492" spans="33:34">
      <c r="AG492" s="20" t="str">
        <f t="shared" si="30"/>
        <v/>
      </c>
      <c r="AH492" s="20" t="e">
        <f>+VLOOKUP(AG492,Catálogo!E:F,2,0)</f>
        <v>#N/A</v>
      </c>
    </row>
    <row r="493" spans="33:34">
      <c r="AG493" s="20" t="str">
        <f t="shared" si="30"/>
        <v/>
      </c>
      <c r="AH493" s="20" t="e">
        <f>+VLOOKUP(AG493,Catálogo!E:F,2,0)</f>
        <v>#N/A</v>
      </c>
    </row>
    <row r="494" spans="33:34">
      <c r="AG494" s="20" t="str">
        <f t="shared" si="30"/>
        <v/>
      </c>
      <c r="AH494" s="20" t="e">
        <f>+VLOOKUP(AG494,Catálogo!E:F,2,0)</f>
        <v>#N/A</v>
      </c>
    </row>
    <row r="495" spans="33:34">
      <c r="AG495" s="20" t="str">
        <f t="shared" si="30"/>
        <v/>
      </c>
      <c r="AH495" s="20" t="e">
        <f>+VLOOKUP(AG495,Catálogo!E:F,2,0)</f>
        <v>#N/A</v>
      </c>
    </row>
    <row r="496" spans="33:34">
      <c r="AG496" s="20" t="str">
        <f t="shared" si="30"/>
        <v/>
      </c>
      <c r="AH496" s="20" t="e">
        <f>+VLOOKUP(AG496,Catálogo!E:F,2,0)</f>
        <v>#N/A</v>
      </c>
    </row>
    <row r="497" spans="33:34">
      <c r="AG497" s="20" t="str">
        <f t="shared" si="30"/>
        <v/>
      </c>
      <c r="AH497" s="20" t="e">
        <f>+VLOOKUP(AG497,Catálogo!E:F,2,0)</f>
        <v>#N/A</v>
      </c>
    </row>
    <row r="498" spans="33:34">
      <c r="AG498" s="20" t="str">
        <f t="shared" si="30"/>
        <v/>
      </c>
      <c r="AH498" s="20" t="e">
        <f>+VLOOKUP(AG498,Catálogo!E:F,2,0)</f>
        <v>#N/A</v>
      </c>
    </row>
    <row r="499" spans="33:34">
      <c r="AG499" s="20" t="str">
        <f t="shared" si="30"/>
        <v/>
      </c>
      <c r="AH499" s="20" t="e">
        <f>+VLOOKUP(AG499,Catálogo!E:F,2,0)</f>
        <v>#N/A</v>
      </c>
    </row>
    <row r="500" spans="33:34">
      <c r="AG500" s="20" t="str">
        <f t="shared" si="30"/>
        <v/>
      </c>
      <c r="AH500" s="20" t="e">
        <f>+VLOOKUP(AG500,Catálogo!E:F,2,0)</f>
        <v>#N/A</v>
      </c>
    </row>
    <row r="501" spans="33:34">
      <c r="AG501" s="20" t="str">
        <f t="shared" si="30"/>
        <v/>
      </c>
      <c r="AH501" s="20" t="e">
        <f>+VLOOKUP(AG501,Catálogo!E:F,2,0)</f>
        <v>#N/A</v>
      </c>
    </row>
    <row r="502" spans="33:34">
      <c r="AG502" s="20" t="str">
        <f t="shared" si="30"/>
        <v/>
      </c>
      <c r="AH502" s="20" t="e">
        <f>+VLOOKUP(AG502,Catálogo!E:F,2,0)</f>
        <v>#N/A</v>
      </c>
    </row>
    <row r="503" spans="33:34">
      <c r="AG503" s="20" t="str">
        <f t="shared" si="30"/>
        <v/>
      </c>
      <c r="AH503" s="20" t="e">
        <f>+VLOOKUP(AG503,Catálogo!E:F,2,0)</f>
        <v>#N/A</v>
      </c>
    </row>
    <row r="504" spans="33:34">
      <c r="AG504" s="20" t="str">
        <f t="shared" si="30"/>
        <v/>
      </c>
      <c r="AH504" s="20" t="e">
        <f>+VLOOKUP(AG504,Catálogo!E:F,2,0)</f>
        <v>#N/A</v>
      </c>
    </row>
    <row r="505" spans="33:34">
      <c r="AG505" s="20" t="str">
        <f t="shared" si="30"/>
        <v/>
      </c>
      <c r="AH505" s="20" t="e">
        <f>+VLOOKUP(AG505,Catálogo!E:F,2,0)</f>
        <v>#N/A</v>
      </c>
    </row>
    <row r="506" spans="33:34">
      <c r="AG506" s="20" t="str">
        <f t="shared" si="30"/>
        <v/>
      </c>
      <c r="AH506" s="20" t="e">
        <f>+VLOOKUP(AG506,Catálogo!E:F,2,0)</f>
        <v>#N/A</v>
      </c>
    </row>
    <row r="507" spans="33:34">
      <c r="AG507" s="20" t="str">
        <f t="shared" si="30"/>
        <v/>
      </c>
      <c r="AH507" s="20" t="e">
        <f>+VLOOKUP(AG507,Catálogo!E:F,2,0)</f>
        <v>#N/A</v>
      </c>
    </row>
    <row r="508" spans="33:34">
      <c r="AG508" s="20" t="str">
        <f t="shared" si="30"/>
        <v/>
      </c>
      <c r="AH508" s="20" t="e">
        <f>+VLOOKUP(AG508,Catálogo!E:F,2,0)</f>
        <v>#N/A</v>
      </c>
    </row>
    <row r="509" spans="33:34">
      <c r="AG509" s="20" t="str">
        <f t="shared" si="30"/>
        <v/>
      </c>
      <c r="AH509" s="20" t="e">
        <f>+VLOOKUP(AG509,Catálogo!E:F,2,0)</f>
        <v>#N/A</v>
      </c>
    </row>
    <row r="510" spans="33:34">
      <c r="AG510" s="20" t="str">
        <f t="shared" si="30"/>
        <v/>
      </c>
      <c r="AH510" s="20" t="e">
        <f>+VLOOKUP(AG510,Catálogo!E:F,2,0)</f>
        <v>#N/A</v>
      </c>
    </row>
    <row r="511" spans="33:34">
      <c r="AG511" s="20" t="str">
        <f t="shared" si="30"/>
        <v/>
      </c>
      <c r="AH511" s="20" t="e">
        <f>+VLOOKUP(AG511,Catálogo!E:F,2,0)</f>
        <v>#N/A</v>
      </c>
    </row>
    <row r="512" spans="33:34">
      <c r="AG512" s="20" t="str">
        <f t="shared" si="30"/>
        <v/>
      </c>
      <c r="AH512" s="20" t="e">
        <f>+VLOOKUP(AG512,Catálogo!E:F,2,0)</f>
        <v>#N/A</v>
      </c>
    </row>
    <row r="513" spans="33:34">
      <c r="AG513" s="20" t="str">
        <f t="shared" si="30"/>
        <v/>
      </c>
      <c r="AH513" s="20" t="e">
        <f>+VLOOKUP(AG513,Catálogo!E:F,2,0)</f>
        <v>#N/A</v>
      </c>
    </row>
    <row r="514" spans="33:34">
      <c r="AG514" s="20" t="str">
        <f t="shared" si="30"/>
        <v/>
      </c>
      <c r="AH514" s="20" t="e">
        <f>+VLOOKUP(AG514,Catálogo!E:F,2,0)</f>
        <v>#N/A</v>
      </c>
    </row>
    <row r="515" spans="33:34">
      <c r="AG515" s="20" t="str">
        <f t="shared" ref="AG515:AG556" si="31">+CONCATENATE(S515,T515,V515)</f>
        <v/>
      </c>
      <c r="AH515" s="20" t="e">
        <f>+VLOOKUP(AG515,Catálogo!E:F,2,0)</f>
        <v>#N/A</v>
      </c>
    </row>
    <row r="516" spans="33:34">
      <c r="AG516" s="20" t="str">
        <f t="shared" si="31"/>
        <v/>
      </c>
      <c r="AH516" s="20" t="e">
        <f>+VLOOKUP(AG516,Catálogo!E:F,2,0)</f>
        <v>#N/A</v>
      </c>
    </row>
    <row r="517" spans="33:34">
      <c r="AG517" s="20" t="str">
        <f t="shared" si="31"/>
        <v/>
      </c>
      <c r="AH517" s="20" t="e">
        <f>+VLOOKUP(AG517,Catálogo!E:F,2,0)</f>
        <v>#N/A</v>
      </c>
    </row>
    <row r="518" spans="33:34">
      <c r="AG518" s="20" t="str">
        <f t="shared" si="31"/>
        <v/>
      </c>
      <c r="AH518" s="20" t="e">
        <f>+VLOOKUP(AG518,Catálogo!E:F,2,0)</f>
        <v>#N/A</v>
      </c>
    </row>
    <row r="519" spans="33:34">
      <c r="AG519" s="20" t="str">
        <f t="shared" si="31"/>
        <v/>
      </c>
      <c r="AH519" s="20" t="e">
        <f>+VLOOKUP(AG519,Catálogo!E:F,2,0)</f>
        <v>#N/A</v>
      </c>
    </row>
    <row r="520" spans="33:34">
      <c r="AG520" s="20" t="str">
        <f t="shared" si="31"/>
        <v/>
      </c>
      <c r="AH520" s="20" t="e">
        <f>+VLOOKUP(AG520,Catálogo!E:F,2,0)</f>
        <v>#N/A</v>
      </c>
    </row>
    <row r="521" spans="33:34">
      <c r="AG521" s="20" t="str">
        <f t="shared" si="31"/>
        <v/>
      </c>
      <c r="AH521" s="20" t="e">
        <f>+VLOOKUP(AG521,Catálogo!E:F,2,0)</f>
        <v>#N/A</v>
      </c>
    </row>
    <row r="522" spans="33:34">
      <c r="AG522" s="20" t="str">
        <f t="shared" si="31"/>
        <v/>
      </c>
      <c r="AH522" s="20" t="e">
        <f>+VLOOKUP(AG522,Catálogo!E:F,2,0)</f>
        <v>#N/A</v>
      </c>
    </row>
    <row r="523" spans="33:34">
      <c r="AG523" s="20" t="str">
        <f t="shared" si="31"/>
        <v/>
      </c>
      <c r="AH523" s="20" t="e">
        <f>+VLOOKUP(AG523,Catálogo!E:F,2,0)</f>
        <v>#N/A</v>
      </c>
    </row>
    <row r="524" spans="33:34">
      <c r="AG524" s="20" t="str">
        <f t="shared" si="31"/>
        <v/>
      </c>
      <c r="AH524" s="20" t="e">
        <f>+VLOOKUP(AG524,Catálogo!E:F,2,0)</f>
        <v>#N/A</v>
      </c>
    </row>
    <row r="525" spans="33:34">
      <c r="AG525" s="20" t="str">
        <f t="shared" si="31"/>
        <v/>
      </c>
      <c r="AH525" s="20" t="e">
        <f>+VLOOKUP(AG525,Catálogo!E:F,2,0)</f>
        <v>#N/A</v>
      </c>
    </row>
    <row r="526" spans="33:34">
      <c r="AG526" s="20" t="str">
        <f t="shared" si="31"/>
        <v/>
      </c>
      <c r="AH526" s="20" t="e">
        <f>+VLOOKUP(AG526,Catálogo!E:F,2,0)</f>
        <v>#N/A</v>
      </c>
    </row>
    <row r="527" spans="33:34">
      <c r="AG527" s="20" t="str">
        <f t="shared" si="31"/>
        <v/>
      </c>
      <c r="AH527" s="20" t="e">
        <f>+VLOOKUP(AG527,Catálogo!E:F,2,0)</f>
        <v>#N/A</v>
      </c>
    </row>
    <row r="528" spans="33:34">
      <c r="AG528" s="20" t="str">
        <f t="shared" si="31"/>
        <v/>
      </c>
      <c r="AH528" s="20" t="e">
        <f>+VLOOKUP(AG528,Catálogo!E:F,2,0)</f>
        <v>#N/A</v>
      </c>
    </row>
    <row r="529" spans="33:34">
      <c r="AG529" s="20" t="str">
        <f t="shared" si="31"/>
        <v/>
      </c>
      <c r="AH529" s="20" t="e">
        <f>+VLOOKUP(AG529,Catálogo!E:F,2,0)</f>
        <v>#N/A</v>
      </c>
    </row>
    <row r="530" spans="33:34">
      <c r="AG530" s="20" t="str">
        <f t="shared" si="31"/>
        <v/>
      </c>
      <c r="AH530" s="20" t="e">
        <f>+VLOOKUP(AG530,Catálogo!E:F,2,0)</f>
        <v>#N/A</v>
      </c>
    </row>
    <row r="531" spans="33:34">
      <c r="AG531" s="20" t="str">
        <f t="shared" si="31"/>
        <v/>
      </c>
      <c r="AH531" s="20" t="e">
        <f>+VLOOKUP(AG531,Catálogo!E:F,2,0)</f>
        <v>#N/A</v>
      </c>
    </row>
    <row r="532" spans="33:34">
      <c r="AG532" s="20" t="str">
        <f t="shared" si="31"/>
        <v/>
      </c>
      <c r="AH532" s="20" t="e">
        <f>+VLOOKUP(AG532,Catálogo!E:F,2,0)</f>
        <v>#N/A</v>
      </c>
    </row>
    <row r="533" spans="33:34">
      <c r="AG533" s="20" t="str">
        <f t="shared" si="31"/>
        <v/>
      </c>
      <c r="AH533" s="20" t="e">
        <f>+VLOOKUP(AG533,Catálogo!E:F,2,0)</f>
        <v>#N/A</v>
      </c>
    </row>
    <row r="534" spans="33:34">
      <c r="AG534" s="20" t="str">
        <f t="shared" si="31"/>
        <v/>
      </c>
      <c r="AH534" s="20" t="e">
        <f>+VLOOKUP(AG534,Catálogo!E:F,2,0)</f>
        <v>#N/A</v>
      </c>
    </row>
    <row r="535" spans="33:34">
      <c r="AG535" s="20" t="str">
        <f t="shared" si="31"/>
        <v/>
      </c>
      <c r="AH535" s="20" t="e">
        <f>+VLOOKUP(AG535,Catálogo!E:F,2,0)</f>
        <v>#N/A</v>
      </c>
    </row>
    <row r="536" spans="33:34">
      <c r="AG536" s="20" t="str">
        <f t="shared" si="31"/>
        <v/>
      </c>
      <c r="AH536" s="20" t="e">
        <f>+VLOOKUP(AG536,Catálogo!E:F,2,0)</f>
        <v>#N/A</v>
      </c>
    </row>
    <row r="537" spans="33:34">
      <c r="AG537" s="20" t="str">
        <f t="shared" si="31"/>
        <v/>
      </c>
      <c r="AH537" s="20" t="e">
        <f>+VLOOKUP(AG537,Catálogo!E:F,2,0)</f>
        <v>#N/A</v>
      </c>
    </row>
    <row r="538" spans="33:34">
      <c r="AG538" s="20" t="str">
        <f t="shared" si="31"/>
        <v/>
      </c>
      <c r="AH538" s="20" t="e">
        <f>+VLOOKUP(AG538,Catálogo!E:F,2,0)</f>
        <v>#N/A</v>
      </c>
    </row>
    <row r="539" spans="33:34">
      <c r="AG539" s="20" t="str">
        <f t="shared" si="31"/>
        <v/>
      </c>
      <c r="AH539" s="20" t="e">
        <f>+VLOOKUP(AG539,Catálogo!E:F,2,0)</f>
        <v>#N/A</v>
      </c>
    </row>
    <row r="540" spans="33:34">
      <c r="AG540" s="20" t="str">
        <f t="shared" si="31"/>
        <v/>
      </c>
      <c r="AH540" s="20" t="e">
        <f>+VLOOKUP(AG540,Catálogo!E:F,2,0)</f>
        <v>#N/A</v>
      </c>
    </row>
    <row r="541" spans="33:34">
      <c r="AG541" s="20" t="str">
        <f t="shared" si="31"/>
        <v/>
      </c>
      <c r="AH541" s="20" t="e">
        <f>+VLOOKUP(AG541,Catálogo!E:F,2,0)</f>
        <v>#N/A</v>
      </c>
    </row>
    <row r="542" spans="33:34">
      <c r="AG542" s="20" t="str">
        <f t="shared" si="31"/>
        <v/>
      </c>
      <c r="AH542" s="20" t="e">
        <f>+VLOOKUP(AG542,Catálogo!E:F,2,0)</f>
        <v>#N/A</v>
      </c>
    </row>
    <row r="543" spans="33:34">
      <c r="AG543" s="20" t="str">
        <f t="shared" si="31"/>
        <v/>
      </c>
      <c r="AH543" s="20" t="e">
        <f>+VLOOKUP(AG543,Catálogo!E:F,2,0)</f>
        <v>#N/A</v>
      </c>
    </row>
    <row r="544" spans="33:34">
      <c r="AG544" s="20" t="str">
        <f t="shared" si="31"/>
        <v/>
      </c>
      <c r="AH544" s="20" t="e">
        <f>+VLOOKUP(AG544,Catálogo!E:F,2,0)</f>
        <v>#N/A</v>
      </c>
    </row>
    <row r="545" spans="33:34">
      <c r="AG545" s="20" t="str">
        <f t="shared" si="31"/>
        <v/>
      </c>
      <c r="AH545" s="20" t="e">
        <f>+VLOOKUP(AG545,Catálogo!E:F,2,0)</f>
        <v>#N/A</v>
      </c>
    </row>
    <row r="546" spans="33:34">
      <c r="AG546" s="20" t="str">
        <f t="shared" si="31"/>
        <v/>
      </c>
      <c r="AH546" s="20" t="e">
        <f>+VLOOKUP(AG546,Catálogo!E:F,2,0)</f>
        <v>#N/A</v>
      </c>
    </row>
    <row r="547" spans="33:34">
      <c r="AG547" s="20" t="str">
        <f t="shared" si="31"/>
        <v/>
      </c>
      <c r="AH547" s="20" t="e">
        <f>+VLOOKUP(AG547,Catálogo!E:F,2,0)</f>
        <v>#N/A</v>
      </c>
    </row>
    <row r="548" spans="33:34">
      <c r="AG548" s="20" t="str">
        <f t="shared" si="31"/>
        <v/>
      </c>
      <c r="AH548" s="20" t="e">
        <f>+VLOOKUP(AG548,Catálogo!E:F,2,0)</f>
        <v>#N/A</v>
      </c>
    </row>
    <row r="549" spans="33:34">
      <c r="AG549" s="20" t="str">
        <f t="shared" si="31"/>
        <v/>
      </c>
      <c r="AH549" s="20" t="e">
        <f>+VLOOKUP(AG549,Catálogo!E:F,2,0)</f>
        <v>#N/A</v>
      </c>
    </row>
    <row r="550" spans="33:34">
      <c r="AG550" s="20" t="str">
        <f t="shared" si="31"/>
        <v/>
      </c>
      <c r="AH550" s="20" t="e">
        <f>+VLOOKUP(AG550,Catálogo!E:F,2,0)</f>
        <v>#N/A</v>
      </c>
    </row>
    <row r="551" spans="33:34">
      <c r="AG551" s="20" t="str">
        <f t="shared" si="31"/>
        <v/>
      </c>
      <c r="AH551" s="20" t="e">
        <f>+VLOOKUP(AG551,Catálogo!E:F,2,0)</f>
        <v>#N/A</v>
      </c>
    </row>
    <row r="552" spans="33:34">
      <c r="AG552" s="20" t="str">
        <f t="shared" si="31"/>
        <v/>
      </c>
      <c r="AH552" s="20" t="e">
        <f>+VLOOKUP(AG552,Catálogo!E:F,2,0)</f>
        <v>#N/A</v>
      </c>
    </row>
    <row r="553" spans="33:34">
      <c r="AG553" s="20" t="str">
        <f t="shared" si="31"/>
        <v/>
      </c>
      <c r="AH553" s="20" t="e">
        <f>+VLOOKUP(AG553,Catálogo!E:F,2,0)</f>
        <v>#N/A</v>
      </c>
    </row>
    <row r="554" spans="33:34">
      <c r="AG554" s="20" t="str">
        <f t="shared" si="31"/>
        <v/>
      </c>
      <c r="AH554" s="20" t="e">
        <f>+VLOOKUP(AG554,Catálogo!E:F,2,0)</f>
        <v>#N/A</v>
      </c>
    </row>
    <row r="555" spans="33:34">
      <c r="AG555" s="20" t="str">
        <f t="shared" si="31"/>
        <v/>
      </c>
      <c r="AH555" s="20" t="e">
        <f>+VLOOKUP(AG555,Catálogo!E:F,2,0)</f>
        <v>#N/A</v>
      </c>
    </row>
    <row r="556" spans="33:34">
      <c r="AG556" s="20" t="str">
        <f t="shared" si="31"/>
        <v/>
      </c>
      <c r="AH556" s="20" t="e">
        <f>+VLOOKUP(AG556,Catálogo!E:F,2,0)</f>
        <v>#N/A</v>
      </c>
    </row>
  </sheetData>
  <autoFilter ref="AG1:AI556" xr:uid="{5C0C9C95-904C-4BFE-80B9-E9B6541A85A4}"/>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1A05-2C5B-4F6F-A911-CDCAF7729BDD}">
  <sheetPr codeName="Hoja3">
    <tabColor theme="4" tint="0.79998168889431442"/>
  </sheetPr>
  <dimension ref="A1:AF565"/>
  <sheetViews>
    <sheetView showGridLines="0" topLeftCell="A22" zoomScaleNormal="100" workbookViewId="0">
      <selection activeCell="H68" sqref="A68:XFD68"/>
    </sheetView>
  </sheetViews>
  <sheetFormatPr baseColWidth="10" defaultColWidth="11.5703125" defaultRowHeight="15" zeroHeight="1"/>
  <cols>
    <col min="1" max="1" width="7.140625" style="20" bestFit="1" customWidth="1"/>
    <col min="2" max="2" width="5.42578125" style="20" bestFit="1" customWidth="1"/>
    <col min="3" max="3" width="5.85546875" style="20" bestFit="1" customWidth="1"/>
    <col min="4" max="4" width="55.28515625" style="20" customWidth="1"/>
    <col min="5" max="5" width="16.85546875" style="231" bestFit="1" customWidth="1"/>
    <col min="6" max="7" width="18.5703125" style="231" bestFit="1" customWidth="1"/>
    <col min="8" max="8" width="16.85546875" style="231" bestFit="1" customWidth="1"/>
    <col min="9" max="17" width="13.85546875" style="225" customWidth="1"/>
    <col min="18" max="18" width="7.140625" style="20" bestFit="1" customWidth="1"/>
    <col min="19" max="19" width="5.5703125" style="20" bestFit="1" customWidth="1"/>
    <col min="20" max="20" width="5.85546875" style="20" bestFit="1" customWidth="1"/>
    <col min="21" max="21" width="38.85546875" style="20" bestFit="1" customWidth="1"/>
    <col min="22" max="22" width="14.85546875" style="20" bestFit="1" customWidth="1"/>
    <col min="23" max="23" width="15.7109375" style="20" bestFit="1" customWidth="1"/>
    <col min="24" max="24" width="16.42578125" style="20" bestFit="1" customWidth="1"/>
    <col min="25" max="25" width="13.85546875" style="20" bestFit="1" customWidth="1"/>
    <col min="26" max="29" width="2.7109375" style="20" customWidth="1"/>
    <col min="30" max="30" width="44.7109375" style="20" customWidth="1"/>
    <col min="31" max="31" width="62.42578125" style="20" customWidth="1"/>
    <col min="32" max="32" width="106" style="20" customWidth="1"/>
    <col min="33" max="16384" width="11.5703125" style="20"/>
  </cols>
  <sheetData>
    <row r="1" spans="1:32"/>
    <row r="2" spans="1:32"/>
    <row r="3" spans="1:32"/>
    <row r="4" spans="1:32"/>
    <row r="5" spans="1:32"/>
    <row r="6" spans="1:32"/>
    <row r="7" spans="1:32" ht="15.75" thickBot="1">
      <c r="O7" s="229">
        <f>+SUM(O11:O251)</f>
        <v>1</v>
      </c>
    </row>
    <row r="8" spans="1:32" ht="15.75" thickTop="1"/>
    <row r="9" spans="1:32"/>
    <row r="10" spans="1:32" ht="15.75" thickBot="1">
      <c r="A10" s="216" t="s">
        <v>0</v>
      </c>
      <c r="B10" s="216" t="s">
        <v>1</v>
      </c>
      <c r="C10" s="216" t="s">
        <v>2</v>
      </c>
      <c r="D10" s="216" t="s">
        <v>3</v>
      </c>
      <c r="E10" s="217" t="s">
        <v>4</v>
      </c>
      <c r="F10" s="217" t="s">
        <v>5</v>
      </c>
      <c r="G10" s="217" t="s">
        <v>6</v>
      </c>
      <c r="H10" s="217" t="s">
        <v>7</v>
      </c>
      <c r="I10" s="222"/>
      <c r="J10" s="198"/>
      <c r="K10" s="199" t="s">
        <v>545</v>
      </c>
      <c r="L10" s="200"/>
      <c r="M10" s="198"/>
      <c r="N10" s="212" t="s">
        <v>546</v>
      </c>
      <c r="O10" s="198"/>
      <c r="P10" s="200"/>
      <c r="Q10" s="222"/>
      <c r="R10" s="216" t="s">
        <v>0</v>
      </c>
      <c r="S10" s="216" t="s">
        <v>1</v>
      </c>
      <c r="T10" s="216" t="s">
        <v>2</v>
      </c>
      <c r="U10" s="216" t="s">
        <v>3</v>
      </c>
      <c r="V10" s="217" t="s">
        <v>4</v>
      </c>
      <c r="W10" s="217" t="s">
        <v>5</v>
      </c>
      <c r="X10" s="217" t="s">
        <v>6</v>
      </c>
      <c r="Y10" s="217" t="s">
        <v>7</v>
      </c>
      <c r="Z10" s="216"/>
      <c r="AE10" s="80" t="s">
        <v>134</v>
      </c>
      <c r="AF10" s="80" t="s">
        <v>262</v>
      </c>
    </row>
    <row r="11" spans="1:32" ht="15.75" thickTop="1">
      <c r="A11" s="6">
        <v>103</v>
      </c>
      <c r="B11" s="6">
        <v>0</v>
      </c>
      <c r="C11" s="7">
        <v>0</v>
      </c>
      <c r="D11" s="218" t="s">
        <v>8</v>
      </c>
      <c r="E11" s="22">
        <v>22923.02</v>
      </c>
      <c r="F11" s="22">
        <v>356055008.20999998</v>
      </c>
      <c r="G11" s="22">
        <v>-354903943.06</v>
      </c>
      <c r="H11" s="22">
        <v>1173988.17</v>
      </c>
      <c r="I11" s="223"/>
      <c r="J11" s="194">
        <f>+ROUND(H11/1000,0)</f>
        <v>1174</v>
      </c>
      <c r="K11" s="201">
        <f>+IFERROR(LEFT(AE11,3),0)</f>
        <v>0</v>
      </c>
      <c r="L11" s="201">
        <f>+IFERROR(ABS(K11),"ok")</f>
        <v>0</v>
      </c>
      <c r="M11" s="202">
        <f>+IF(L11="ok",J11,0)</f>
        <v>0</v>
      </c>
      <c r="N11" s="180"/>
      <c r="O11" s="202">
        <f>+M11+N11</f>
        <v>0</v>
      </c>
      <c r="P11" s="203"/>
      <c r="Q11" s="223"/>
      <c r="R11" s="6">
        <v>103</v>
      </c>
      <c r="S11" s="6">
        <v>0</v>
      </c>
      <c r="T11" s="7">
        <v>0</v>
      </c>
      <c r="U11" s="218" t="s">
        <v>8</v>
      </c>
      <c r="V11" s="22">
        <v>22923.02</v>
      </c>
      <c r="W11" s="22">
        <v>356055008.20999998</v>
      </c>
      <c r="X11" s="22">
        <v>-354903943.06</v>
      </c>
      <c r="Y11" s="223">
        <f>+O11</f>
        <v>0</v>
      </c>
      <c r="Z11" s="216"/>
      <c r="AD11" s="20" t="str">
        <f t="shared" ref="AD11:AD74" si="0">+CONCATENATE(A11,B11,D11)</f>
        <v>1030BANCOS</v>
      </c>
      <c r="AE11" s="20" t="e">
        <f>+VLOOKUP(AD11,Catálogo!E:F,2,0)</f>
        <v>#N/A</v>
      </c>
      <c r="AF11" s="20">
        <f>+VLOOKUP(AD11,Catálogo!E:G,3,0)</f>
        <v>0</v>
      </c>
    </row>
    <row r="12" spans="1:32">
      <c r="A12" s="10">
        <v>103</v>
      </c>
      <c r="B12" s="10">
        <v>1</v>
      </c>
      <c r="C12" s="11">
        <v>0</v>
      </c>
      <c r="D12" s="219" t="s">
        <v>9</v>
      </c>
      <c r="E12" s="24">
        <v>22923.02</v>
      </c>
      <c r="F12" s="24">
        <v>356055008.20999998</v>
      </c>
      <c r="G12" s="24">
        <v>-354903943.06</v>
      </c>
      <c r="H12" s="24">
        <v>1173988.17</v>
      </c>
      <c r="I12" s="224"/>
      <c r="J12" s="194">
        <f t="shared" ref="J12:J75" si="1">+ROUND(H12/1000,0)</f>
        <v>1174</v>
      </c>
      <c r="K12" s="201">
        <f t="shared" ref="K12:K75" si="2">+IFERROR(LEFT(AE12,3),0)</f>
        <v>0</v>
      </c>
      <c r="L12" s="201">
        <f t="shared" ref="L12:L75" si="3">+IFERROR(ABS(K12),"ok")</f>
        <v>0</v>
      </c>
      <c r="M12" s="202">
        <f t="shared" ref="M12:M75" si="4">+IF(L12="ok",J12,0)</f>
        <v>0</v>
      </c>
      <c r="N12" s="180"/>
      <c r="O12" s="202">
        <f t="shared" ref="O12:O75" si="5">+M12+N12</f>
        <v>0</v>
      </c>
      <c r="P12" s="203"/>
      <c r="Q12" s="224"/>
      <c r="R12" s="10">
        <v>103</v>
      </c>
      <c r="S12" s="10">
        <v>1</v>
      </c>
      <c r="T12" s="11">
        <v>0</v>
      </c>
      <c r="U12" s="219" t="s">
        <v>9</v>
      </c>
      <c r="V12" s="23">
        <v>22923.02</v>
      </c>
      <c r="W12" s="23">
        <v>356055008.20999998</v>
      </c>
      <c r="X12" s="23">
        <v>-354903943.06</v>
      </c>
      <c r="Y12" s="223">
        <f t="shared" ref="Y12:Y75" si="6">+O12</f>
        <v>0</v>
      </c>
      <c r="Z12" s="216"/>
      <c r="AD12" s="20" t="str">
        <f t="shared" si="0"/>
        <v>1031MONEDA NACIONAL</v>
      </c>
      <c r="AE12" s="20" t="e">
        <f>+VLOOKUP(AD12,Catálogo!E:F,2,0)</f>
        <v>#N/A</v>
      </c>
      <c r="AF12" s="20">
        <f>+VLOOKUP(AD12,Catálogo!E:G,3,0)</f>
        <v>0</v>
      </c>
    </row>
    <row r="13" spans="1:32">
      <c r="A13" s="14">
        <v>103</v>
      </c>
      <c r="B13" s="14">
        <v>1</v>
      </c>
      <c r="C13" s="15">
        <v>2</v>
      </c>
      <c r="D13" s="174" t="s">
        <v>10</v>
      </c>
      <c r="E13" s="13">
        <v>22923.02</v>
      </c>
      <c r="F13" s="13">
        <v>245091950.25</v>
      </c>
      <c r="G13" s="13">
        <v>-244240885.09999999</v>
      </c>
      <c r="H13" s="13">
        <v>873988.17</v>
      </c>
      <c r="I13" s="224"/>
      <c r="J13" s="194">
        <f t="shared" si="1"/>
        <v>874</v>
      </c>
      <c r="K13" s="201" t="str">
        <f t="shared" si="2"/>
        <v>Efe</v>
      </c>
      <c r="L13" s="201" t="str">
        <f t="shared" si="3"/>
        <v>ok</v>
      </c>
      <c r="M13" s="202">
        <f t="shared" si="4"/>
        <v>874</v>
      </c>
      <c r="N13" s="180"/>
      <c r="O13" s="202">
        <f t="shared" si="5"/>
        <v>874</v>
      </c>
      <c r="P13" s="203"/>
      <c r="Q13" s="224"/>
      <c r="R13" s="14">
        <v>103</v>
      </c>
      <c r="S13" s="14">
        <v>1</v>
      </c>
      <c r="T13" s="15">
        <v>2</v>
      </c>
      <c r="U13" s="174" t="s">
        <v>10</v>
      </c>
      <c r="V13" s="17">
        <v>22923.02</v>
      </c>
      <c r="W13" s="17">
        <v>245091950.25</v>
      </c>
      <c r="X13" s="17">
        <v>-244240885.09999999</v>
      </c>
      <c r="Y13" s="223">
        <f t="shared" si="6"/>
        <v>874</v>
      </c>
      <c r="Z13" s="216"/>
      <c r="AD13" s="20" t="str">
        <f t="shared" si="0"/>
        <v>1031BBVA CTA 0116008208</v>
      </c>
      <c r="AE13" s="20" t="str">
        <f>+VLOOKUP(AD13,Catálogo!E:F,2,0)</f>
        <v>Efectivo y equivalentes de efectivo</v>
      </c>
      <c r="AF13" s="20" t="str">
        <f>+VLOOKUP(AD13,Catálogo!E:G,3,0)</f>
        <v>Depósitos en cuenta de cheques</v>
      </c>
    </row>
    <row r="14" spans="1:32">
      <c r="A14" s="14">
        <v>103</v>
      </c>
      <c r="B14" s="14">
        <v>1</v>
      </c>
      <c r="C14" s="15">
        <v>5</v>
      </c>
      <c r="D14" s="174" t="s">
        <v>11</v>
      </c>
      <c r="E14" s="13">
        <v>0</v>
      </c>
      <c r="F14" s="13">
        <v>98632557.959999993</v>
      </c>
      <c r="G14" s="13">
        <v>-98332557.959999993</v>
      </c>
      <c r="H14" s="13">
        <v>300000</v>
      </c>
      <c r="I14" s="224"/>
      <c r="J14" s="194">
        <f t="shared" si="1"/>
        <v>300</v>
      </c>
      <c r="K14" s="201" t="str">
        <f t="shared" si="2"/>
        <v>Efe</v>
      </c>
      <c r="L14" s="201" t="str">
        <f t="shared" si="3"/>
        <v>ok</v>
      </c>
      <c r="M14" s="202">
        <f t="shared" si="4"/>
        <v>300</v>
      </c>
      <c r="N14" s="180"/>
      <c r="O14" s="202">
        <f t="shared" si="5"/>
        <v>300</v>
      </c>
      <c r="P14" s="203"/>
      <c r="Q14" s="224"/>
      <c r="R14" s="14">
        <v>103</v>
      </c>
      <c r="S14" s="14">
        <v>1</v>
      </c>
      <c r="T14" s="15">
        <v>5</v>
      </c>
      <c r="U14" s="174" t="s">
        <v>11</v>
      </c>
      <c r="V14" s="17">
        <v>0</v>
      </c>
      <c r="W14" s="17">
        <v>98632557.959999993</v>
      </c>
      <c r="X14" s="17">
        <v>-98332557.959999993</v>
      </c>
      <c r="Y14" s="223">
        <f t="shared" si="6"/>
        <v>300</v>
      </c>
      <c r="Z14" s="216"/>
      <c r="AD14" s="20" t="str">
        <f t="shared" si="0"/>
        <v>1031INVEX CTA 05661 COBRANZA</v>
      </c>
      <c r="AE14" s="20" t="str">
        <f>+VLOOKUP(AD14,Catálogo!E:F,2,0)</f>
        <v>Efectivo y equivalentes de efectivo</v>
      </c>
      <c r="AF14" s="20" t="str">
        <f>+VLOOKUP(AD14,Catálogo!E:G,3,0)</f>
        <v>Depósitos en cuenta de cheques</v>
      </c>
    </row>
    <row r="15" spans="1:32">
      <c r="A15" s="14">
        <v>103</v>
      </c>
      <c r="B15" s="14">
        <v>1</v>
      </c>
      <c r="C15" s="15">
        <v>6</v>
      </c>
      <c r="D15" s="174" t="s">
        <v>12</v>
      </c>
      <c r="E15" s="13">
        <v>0</v>
      </c>
      <c r="F15" s="13">
        <v>12330500</v>
      </c>
      <c r="G15" s="13">
        <v>-12330500</v>
      </c>
      <c r="H15" s="13">
        <v>0</v>
      </c>
      <c r="I15" s="224"/>
      <c r="J15" s="194">
        <f t="shared" si="1"/>
        <v>0</v>
      </c>
      <c r="K15" s="201" t="str">
        <f t="shared" si="2"/>
        <v>Efe</v>
      </c>
      <c r="L15" s="201" t="str">
        <f t="shared" si="3"/>
        <v>ok</v>
      </c>
      <c r="M15" s="202">
        <f t="shared" si="4"/>
        <v>0</v>
      </c>
      <c r="N15" s="180"/>
      <c r="O15" s="202">
        <f t="shared" si="5"/>
        <v>0</v>
      </c>
      <c r="P15" s="203"/>
      <c r="Q15" s="224"/>
      <c r="R15" s="14">
        <v>103</v>
      </c>
      <c r="S15" s="14">
        <v>1</v>
      </c>
      <c r="T15" s="15">
        <v>6</v>
      </c>
      <c r="U15" s="174" t="s">
        <v>12</v>
      </c>
      <c r="V15" s="17">
        <v>0</v>
      </c>
      <c r="W15" s="17">
        <v>12330500</v>
      </c>
      <c r="X15" s="17">
        <v>-12330500</v>
      </c>
      <c r="Y15" s="223">
        <f t="shared" si="6"/>
        <v>0</v>
      </c>
      <c r="Z15" s="216"/>
      <c r="AD15" s="20" t="str">
        <f t="shared" si="0"/>
        <v>1031INVEX CTA 05662 RESERVA</v>
      </c>
      <c r="AE15" s="20" t="str">
        <f>+VLOOKUP(AD15,Catálogo!E:F,2,0)</f>
        <v>Efectivo y equivalentes de efectivo</v>
      </c>
      <c r="AF15" s="20" t="str">
        <f>+VLOOKUP(AD15,Catálogo!E:G,3,0)</f>
        <v>Depósitos en cuenta de cheques</v>
      </c>
    </row>
    <row r="16" spans="1:32">
      <c r="A16" s="6">
        <v>104</v>
      </c>
      <c r="B16" s="6">
        <v>0</v>
      </c>
      <c r="C16" s="7">
        <v>0</v>
      </c>
      <c r="D16" s="218" t="s">
        <v>13</v>
      </c>
      <c r="E16" s="22">
        <v>8699.59</v>
      </c>
      <c r="F16" s="22">
        <v>2287817285.1100001</v>
      </c>
      <c r="G16" s="22">
        <v>-2242349132.25</v>
      </c>
      <c r="H16" s="22">
        <v>45476852.450000003</v>
      </c>
      <c r="I16" s="223"/>
      <c r="J16" s="194">
        <f t="shared" si="1"/>
        <v>45477</v>
      </c>
      <c r="K16" s="201">
        <f t="shared" si="2"/>
        <v>0</v>
      </c>
      <c r="L16" s="201">
        <f t="shared" si="3"/>
        <v>0</v>
      </c>
      <c r="M16" s="202">
        <f t="shared" si="4"/>
        <v>0</v>
      </c>
      <c r="N16" s="180"/>
      <c r="O16" s="202">
        <f t="shared" si="5"/>
        <v>0</v>
      </c>
      <c r="P16" s="203"/>
      <c r="Q16" s="223"/>
      <c r="R16" s="6">
        <v>104</v>
      </c>
      <c r="S16" s="6">
        <v>0</v>
      </c>
      <c r="T16" s="7">
        <v>0</v>
      </c>
      <c r="U16" s="218" t="s">
        <v>13</v>
      </c>
      <c r="V16" s="22">
        <v>8699.59</v>
      </c>
      <c r="W16" s="22">
        <v>2287817285.1100001</v>
      </c>
      <c r="X16" s="22">
        <v>-2242349132.25</v>
      </c>
      <c r="Y16" s="223">
        <f t="shared" si="6"/>
        <v>0</v>
      </c>
      <c r="Z16" s="216"/>
      <c r="AD16" s="20" t="str">
        <f t="shared" si="0"/>
        <v>1040INVERSIONES SISTEMA FINANCIERO</v>
      </c>
      <c r="AE16" s="20" t="e">
        <f>+VLOOKUP(AD16,Catálogo!E:F,2,0)</f>
        <v>#N/A</v>
      </c>
      <c r="AF16" s="20">
        <f>+VLOOKUP(AD16,Catálogo!E:G,3,0)</f>
        <v>0</v>
      </c>
    </row>
    <row r="17" spans="1:32">
      <c r="A17" s="10">
        <v>104</v>
      </c>
      <c r="B17" s="10">
        <v>1</v>
      </c>
      <c r="C17" s="11">
        <v>0</v>
      </c>
      <c r="D17" s="219" t="s">
        <v>9</v>
      </c>
      <c r="E17" s="24">
        <v>8699.59</v>
      </c>
      <c r="F17" s="24">
        <v>2287817285.1100001</v>
      </c>
      <c r="G17" s="24">
        <v>-2242349132.25</v>
      </c>
      <c r="H17" s="24">
        <v>45476852.450000003</v>
      </c>
      <c r="I17" s="224"/>
      <c r="J17" s="194">
        <f t="shared" si="1"/>
        <v>45477</v>
      </c>
      <c r="K17" s="201">
        <f t="shared" si="2"/>
        <v>0</v>
      </c>
      <c r="L17" s="201">
        <f t="shared" si="3"/>
        <v>0</v>
      </c>
      <c r="M17" s="202">
        <f t="shared" si="4"/>
        <v>0</v>
      </c>
      <c r="N17" s="180"/>
      <c r="O17" s="202">
        <f t="shared" si="5"/>
        <v>0</v>
      </c>
      <c r="P17" s="203"/>
      <c r="Q17" s="224"/>
      <c r="R17" s="10">
        <v>104</v>
      </c>
      <c r="S17" s="10">
        <v>1</v>
      </c>
      <c r="T17" s="11">
        <v>0</v>
      </c>
      <c r="U17" s="219" t="s">
        <v>9</v>
      </c>
      <c r="V17" s="23">
        <v>8699.59</v>
      </c>
      <c r="W17" s="23">
        <v>2287817285.1100001</v>
      </c>
      <c r="X17" s="23">
        <v>-2242349132.25</v>
      </c>
      <c r="Y17" s="223">
        <f t="shared" si="6"/>
        <v>0</v>
      </c>
      <c r="Z17" s="216"/>
      <c r="AD17" s="20" t="str">
        <f t="shared" si="0"/>
        <v>1041MONEDA NACIONAL</v>
      </c>
      <c r="AE17" s="20" t="e">
        <f>+VLOOKUP(AD17,Catálogo!E:F,2,0)</f>
        <v>#N/A</v>
      </c>
      <c r="AF17" s="20">
        <f>+VLOOKUP(AD17,Catálogo!E:G,3,0)</f>
        <v>0</v>
      </c>
    </row>
    <row r="18" spans="1:32">
      <c r="A18" s="14">
        <v>104</v>
      </c>
      <c r="B18" s="14">
        <v>1</v>
      </c>
      <c r="C18" s="15">
        <v>1</v>
      </c>
      <c r="D18" s="174" t="s">
        <v>14</v>
      </c>
      <c r="E18" s="13">
        <v>3.55</v>
      </c>
      <c r="F18" s="13">
        <v>1222875264.6300001</v>
      </c>
      <c r="G18" s="13">
        <v>-1222335864.8599999</v>
      </c>
      <c r="H18" s="13">
        <v>539403.31999999995</v>
      </c>
      <c r="I18" s="224"/>
      <c r="J18" s="194">
        <f t="shared" si="1"/>
        <v>539</v>
      </c>
      <c r="K18" s="201" t="str">
        <f t="shared" si="2"/>
        <v>Efe</v>
      </c>
      <c r="L18" s="201" t="str">
        <f t="shared" si="3"/>
        <v>ok</v>
      </c>
      <c r="M18" s="202">
        <f t="shared" si="4"/>
        <v>539</v>
      </c>
      <c r="N18" s="180"/>
      <c r="O18" s="202">
        <f t="shared" si="5"/>
        <v>539</v>
      </c>
      <c r="P18" s="203"/>
      <c r="Q18" s="224"/>
      <c r="R18" s="14">
        <v>104</v>
      </c>
      <c r="S18" s="14">
        <v>1</v>
      </c>
      <c r="T18" s="15">
        <v>1</v>
      </c>
      <c r="U18" s="174" t="s">
        <v>14</v>
      </c>
      <c r="V18" s="17">
        <v>3.55</v>
      </c>
      <c r="W18" s="17">
        <v>1222875264.6300001</v>
      </c>
      <c r="X18" s="17">
        <v>-1222335864.8599999</v>
      </c>
      <c r="Y18" s="223">
        <f t="shared" si="6"/>
        <v>539</v>
      </c>
      <c r="Z18" s="216"/>
      <c r="AD18" s="20" t="str">
        <f t="shared" si="0"/>
        <v>1041ACTINVER 8344681 CUENTA GENERAL</v>
      </c>
      <c r="AE18" s="20" t="str">
        <f>+VLOOKUP(AD18,Catálogo!E:F,2,0)</f>
        <v>Efectivo y equivalentes de efectivo</v>
      </c>
      <c r="AF18" s="20" t="str">
        <f>+VLOOKUP(AD18,Catálogo!E:G,3,0)</f>
        <v>Inversiones en valores realizables</v>
      </c>
    </row>
    <row r="19" spans="1:32">
      <c r="A19" s="14">
        <v>104</v>
      </c>
      <c r="B19" s="14">
        <v>1</v>
      </c>
      <c r="C19" s="15">
        <v>2</v>
      </c>
      <c r="D19" s="220" t="s">
        <v>15</v>
      </c>
      <c r="E19" s="13">
        <v>8696.0400000000009</v>
      </c>
      <c r="F19" s="13">
        <v>34345823.630000003</v>
      </c>
      <c r="G19" s="13">
        <v>-2000694.71</v>
      </c>
      <c r="H19" s="13">
        <v>32353824.960000001</v>
      </c>
      <c r="I19" s="224"/>
      <c r="J19" s="194">
        <f t="shared" si="1"/>
        <v>32354</v>
      </c>
      <c r="K19" s="201" t="str">
        <f t="shared" si="2"/>
        <v>Efe</v>
      </c>
      <c r="L19" s="201" t="str">
        <f t="shared" si="3"/>
        <v>ok</v>
      </c>
      <c r="M19" s="202">
        <f t="shared" si="4"/>
        <v>32354</v>
      </c>
      <c r="N19" s="180"/>
      <c r="O19" s="202">
        <f t="shared" si="5"/>
        <v>32354</v>
      </c>
      <c r="P19" s="203"/>
      <c r="Q19" s="224"/>
      <c r="R19" s="14">
        <v>104</v>
      </c>
      <c r="S19" s="14">
        <v>1</v>
      </c>
      <c r="T19" s="15">
        <v>2</v>
      </c>
      <c r="U19" s="220" t="s">
        <v>15</v>
      </c>
      <c r="V19" s="17">
        <v>8696.0400000000009</v>
      </c>
      <c r="W19" s="17">
        <v>34345823.630000003</v>
      </c>
      <c r="X19" s="17">
        <v>-2000694.71</v>
      </c>
      <c r="Y19" s="223">
        <f t="shared" si="6"/>
        <v>32354</v>
      </c>
      <c r="Z19" s="216"/>
      <c r="AD19" s="20" t="str">
        <f t="shared" si="0"/>
        <v>1041ACTINVER 8344681 COMPLEMENTARIA</v>
      </c>
      <c r="AE19" s="20" t="str">
        <f>+VLOOKUP(AD19,Catálogo!E:F,2,0)</f>
        <v>Efectivo y equivalentes de efectivo</v>
      </c>
      <c r="AF19" s="20" t="str">
        <f>+VLOOKUP(AD19,Catálogo!E:G,3,0)</f>
        <v>Inversiones en valores realizables</v>
      </c>
    </row>
    <row r="20" spans="1:32">
      <c r="A20" s="14">
        <v>104</v>
      </c>
      <c r="B20" s="14">
        <v>1</v>
      </c>
      <c r="C20" s="15">
        <v>3</v>
      </c>
      <c r="D20" s="174" t="s">
        <v>16</v>
      </c>
      <c r="E20" s="13">
        <v>0</v>
      </c>
      <c r="F20" s="13">
        <v>626862529.97000003</v>
      </c>
      <c r="G20" s="13">
        <v>-626860704.39999998</v>
      </c>
      <c r="H20" s="13">
        <v>1825.57</v>
      </c>
      <c r="I20" s="224"/>
      <c r="J20" s="194">
        <f t="shared" si="1"/>
        <v>2</v>
      </c>
      <c r="K20" s="201" t="str">
        <f t="shared" si="2"/>
        <v>Efe</v>
      </c>
      <c r="L20" s="201" t="str">
        <f t="shared" si="3"/>
        <v>ok</v>
      </c>
      <c r="M20" s="202">
        <f t="shared" si="4"/>
        <v>2</v>
      </c>
      <c r="N20" s="180"/>
      <c r="O20" s="202">
        <f t="shared" si="5"/>
        <v>2</v>
      </c>
      <c r="P20" s="203"/>
      <c r="Q20" s="224"/>
      <c r="R20" s="14">
        <v>104</v>
      </c>
      <c r="S20" s="14">
        <v>1</v>
      </c>
      <c r="T20" s="15">
        <v>3</v>
      </c>
      <c r="U20" s="174" t="s">
        <v>16</v>
      </c>
      <c r="V20" s="17">
        <v>0</v>
      </c>
      <c r="W20" s="17">
        <v>626862529.97000003</v>
      </c>
      <c r="X20" s="17">
        <v>-626860704.39999998</v>
      </c>
      <c r="Y20" s="223">
        <f t="shared" si="6"/>
        <v>2</v>
      </c>
      <c r="Z20" s="216"/>
      <c r="AD20" s="20" t="str">
        <f t="shared" si="0"/>
        <v>1041ACTINVER 5371322 CUENTA GENERAL</v>
      </c>
      <c r="AE20" s="20" t="str">
        <f>+VLOOKUP(AD20,Catálogo!E:F,2,0)</f>
        <v>Efectivo y equivalentes de efectivo</v>
      </c>
      <c r="AF20" s="20" t="str">
        <f>+VLOOKUP(AD20,Catálogo!E:G,3,0)</f>
        <v>Inversiones en valores realizables</v>
      </c>
    </row>
    <row r="21" spans="1:32">
      <c r="A21" s="14">
        <v>104</v>
      </c>
      <c r="B21" s="14">
        <v>1</v>
      </c>
      <c r="C21" s="15">
        <v>4</v>
      </c>
      <c r="D21" s="174" t="s">
        <v>17</v>
      </c>
      <c r="E21" s="13">
        <v>0</v>
      </c>
      <c r="F21" s="13">
        <v>11511437.57</v>
      </c>
      <c r="G21" s="13">
        <v>-11511437.57</v>
      </c>
      <c r="H21" s="13">
        <v>0</v>
      </c>
      <c r="I21" s="224"/>
      <c r="J21" s="194">
        <f t="shared" si="1"/>
        <v>0</v>
      </c>
      <c r="K21" s="201" t="str">
        <f t="shared" si="2"/>
        <v>Efe</v>
      </c>
      <c r="L21" s="201" t="str">
        <f t="shared" si="3"/>
        <v>ok</v>
      </c>
      <c r="M21" s="202">
        <f t="shared" si="4"/>
        <v>0</v>
      </c>
      <c r="N21" s="213"/>
      <c r="O21" s="202">
        <f t="shared" si="5"/>
        <v>0</v>
      </c>
      <c r="P21" s="203"/>
      <c r="Q21" s="224"/>
      <c r="R21" s="14">
        <v>104</v>
      </c>
      <c r="S21" s="14">
        <v>1</v>
      </c>
      <c r="T21" s="15">
        <v>4</v>
      </c>
      <c r="U21" s="174" t="s">
        <v>17</v>
      </c>
      <c r="V21" s="17">
        <v>0</v>
      </c>
      <c r="W21" s="17">
        <v>11511437.57</v>
      </c>
      <c r="X21" s="17">
        <v>-11511437.57</v>
      </c>
      <c r="Y21" s="223">
        <f t="shared" si="6"/>
        <v>0</v>
      </c>
      <c r="Z21" s="216"/>
      <c r="AD21" s="20" t="str">
        <f t="shared" si="0"/>
        <v>1041ACTINVER CTA 5371322 COMPLEMENTARIA</v>
      </c>
      <c r="AE21" s="20" t="str">
        <f>+VLOOKUP(AD21,Catálogo!E:F,2,0)</f>
        <v>Efectivo y equivalentes de efectivo</v>
      </c>
      <c r="AF21" s="20" t="str">
        <f>+VLOOKUP(AD21,Catálogo!E:G,3,0)</f>
        <v>Inversiones en valores realizables</v>
      </c>
    </row>
    <row r="22" spans="1:32">
      <c r="A22" s="14">
        <v>104</v>
      </c>
      <c r="B22" s="14">
        <v>1</v>
      </c>
      <c r="C22" s="15">
        <v>5</v>
      </c>
      <c r="D22" s="174" t="s">
        <v>18</v>
      </c>
      <c r="E22" s="13">
        <v>0</v>
      </c>
      <c r="F22" s="13">
        <v>88535258.900000006</v>
      </c>
      <c r="G22" s="13">
        <v>-88535258.900000006</v>
      </c>
      <c r="H22" s="13">
        <v>0</v>
      </c>
      <c r="I22" s="224"/>
      <c r="J22" s="194">
        <f t="shared" si="1"/>
        <v>0</v>
      </c>
      <c r="K22" s="201" t="str">
        <f t="shared" si="2"/>
        <v>Efe</v>
      </c>
      <c r="L22" s="201" t="str">
        <f t="shared" si="3"/>
        <v>ok</v>
      </c>
      <c r="M22" s="202">
        <f t="shared" si="4"/>
        <v>0</v>
      </c>
      <c r="N22" s="180"/>
      <c r="O22" s="202">
        <f t="shared" si="5"/>
        <v>0</v>
      </c>
      <c r="P22" s="203"/>
      <c r="Q22" s="224"/>
      <c r="R22" s="14">
        <v>104</v>
      </c>
      <c r="S22" s="14">
        <v>1</v>
      </c>
      <c r="T22" s="15">
        <v>5</v>
      </c>
      <c r="U22" s="174" t="s">
        <v>18</v>
      </c>
      <c r="V22" s="17">
        <v>0</v>
      </c>
      <c r="W22" s="17">
        <v>88535258.900000006</v>
      </c>
      <c r="X22" s="17">
        <v>-88535258.900000006</v>
      </c>
      <c r="Y22" s="223">
        <f t="shared" si="6"/>
        <v>0</v>
      </c>
      <c r="Z22" s="216"/>
      <c r="AD22" s="20" t="str">
        <f t="shared" si="0"/>
        <v>1041INVEX CTA 0705 COBRA INVER</v>
      </c>
      <c r="AE22" s="20" t="str">
        <f>+VLOOKUP(AD22,Catálogo!E:F,2,0)</f>
        <v>Efectivo y equivalentes de efectivo</v>
      </c>
      <c r="AF22" s="20" t="str">
        <f>+VLOOKUP(AD22,Catálogo!E:G,3,0)</f>
        <v>Inversiones en valores realizables</v>
      </c>
    </row>
    <row r="23" spans="1:32">
      <c r="A23" s="14">
        <v>104</v>
      </c>
      <c r="B23" s="14">
        <v>1</v>
      </c>
      <c r="C23" s="15">
        <v>6</v>
      </c>
      <c r="D23" s="174" t="s">
        <v>19</v>
      </c>
      <c r="E23" s="13">
        <v>0</v>
      </c>
      <c r="F23" s="13">
        <v>9657687.7300000004</v>
      </c>
      <c r="G23" s="13">
        <v>-9657687.7300000004</v>
      </c>
      <c r="H23" s="13">
        <v>0</v>
      </c>
      <c r="I23" s="224"/>
      <c r="J23" s="194">
        <f t="shared" si="1"/>
        <v>0</v>
      </c>
      <c r="K23" s="201" t="str">
        <f t="shared" si="2"/>
        <v>Efe</v>
      </c>
      <c r="L23" s="201" t="str">
        <f t="shared" si="3"/>
        <v>ok</v>
      </c>
      <c r="M23" s="202">
        <f t="shared" si="4"/>
        <v>0</v>
      </c>
      <c r="N23" s="180"/>
      <c r="O23" s="202">
        <f t="shared" si="5"/>
        <v>0</v>
      </c>
      <c r="P23" s="203"/>
      <c r="Q23" s="224"/>
      <c r="R23" s="14">
        <v>104</v>
      </c>
      <c r="S23" s="14">
        <v>1</v>
      </c>
      <c r="T23" s="15">
        <v>6</v>
      </c>
      <c r="U23" s="174" t="s">
        <v>19</v>
      </c>
      <c r="V23" s="17">
        <v>0</v>
      </c>
      <c r="W23" s="17">
        <v>9657687.7300000004</v>
      </c>
      <c r="X23" s="17">
        <v>-9657687.7300000004</v>
      </c>
      <c r="Y23" s="223">
        <f t="shared" si="6"/>
        <v>0</v>
      </c>
      <c r="Z23" s="216"/>
      <c r="AD23" s="20" t="str">
        <f t="shared" si="0"/>
        <v>1041INVEX CTA 0705 COBRA INVER COMPLEMENTARI</v>
      </c>
      <c r="AE23" s="20" t="str">
        <f>+VLOOKUP(AD23,Catálogo!E:F,2,0)</f>
        <v>Efectivo y equivalentes de efectivo</v>
      </c>
      <c r="AF23" s="20" t="str">
        <f>+VLOOKUP(AD23,Catálogo!E:G,3,0)</f>
        <v>Inversiones en valores realizables</v>
      </c>
    </row>
    <row r="24" spans="1:32">
      <c r="A24" s="14">
        <v>104</v>
      </c>
      <c r="B24" s="14">
        <v>1</v>
      </c>
      <c r="C24" s="15">
        <v>7</v>
      </c>
      <c r="D24" s="174" t="s">
        <v>20</v>
      </c>
      <c r="E24" s="13">
        <v>0</v>
      </c>
      <c r="F24" s="13">
        <v>270351926.60000002</v>
      </c>
      <c r="G24" s="13">
        <v>-270351926.27999997</v>
      </c>
      <c r="H24" s="13">
        <v>0.32</v>
      </c>
      <c r="I24" s="224"/>
      <c r="J24" s="194">
        <f t="shared" si="1"/>
        <v>0</v>
      </c>
      <c r="K24" s="201" t="str">
        <f t="shared" si="2"/>
        <v>Efe</v>
      </c>
      <c r="L24" s="201" t="str">
        <f t="shared" si="3"/>
        <v>ok</v>
      </c>
      <c r="M24" s="202">
        <f t="shared" si="4"/>
        <v>0</v>
      </c>
      <c r="N24" s="180"/>
      <c r="O24" s="202">
        <f t="shared" si="5"/>
        <v>0</v>
      </c>
      <c r="P24" s="203"/>
      <c r="Q24" s="224"/>
      <c r="R24" s="14">
        <v>104</v>
      </c>
      <c r="S24" s="14">
        <v>1</v>
      </c>
      <c r="T24" s="15">
        <v>7</v>
      </c>
      <c r="U24" s="174" t="s">
        <v>20</v>
      </c>
      <c r="V24" s="17">
        <v>0</v>
      </c>
      <c r="W24" s="17">
        <v>270351926.60000002</v>
      </c>
      <c r="X24" s="17">
        <v>-270351926.27999997</v>
      </c>
      <c r="Y24" s="223">
        <f t="shared" si="6"/>
        <v>0</v>
      </c>
      <c r="Z24" s="216"/>
      <c r="AD24" s="20" t="str">
        <f t="shared" si="0"/>
        <v>1041INVEX CTA 0732 RESERVA INVER</v>
      </c>
      <c r="AE24" s="20" t="str">
        <f>+VLOOKUP(AD24,Catálogo!E:F,2,0)</f>
        <v>Efectivo y equivalentes de efectivo</v>
      </c>
      <c r="AF24" s="69" t="s">
        <v>317</v>
      </c>
    </row>
    <row r="25" spans="1:32">
      <c r="A25" s="14">
        <v>104</v>
      </c>
      <c r="B25" s="14">
        <v>1</v>
      </c>
      <c r="C25" s="15">
        <v>8</v>
      </c>
      <c r="D25" s="174" t="s">
        <v>21</v>
      </c>
      <c r="E25" s="13">
        <v>0</v>
      </c>
      <c r="F25" s="13">
        <v>23677356.079999998</v>
      </c>
      <c r="G25" s="13">
        <v>-11095557.800000001</v>
      </c>
      <c r="H25" s="13">
        <v>12581798.279999999</v>
      </c>
      <c r="I25" s="224"/>
      <c r="J25" s="194">
        <f t="shared" si="1"/>
        <v>12582</v>
      </c>
      <c r="K25" s="201" t="str">
        <f t="shared" si="2"/>
        <v>Efe</v>
      </c>
      <c r="L25" s="201" t="str">
        <f t="shared" si="3"/>
        <v>ok</v>
      </c>
      <c r="M25" s="202">
        <f t="shared" si="4"/>
        <v>12582</v>
      </c>
      <c r="N25" s="180"/>
      <c r="O25" s="202">
        <f t="shared" si="5"/>
        <v>12582</v>
      </c>
      <c r="P25" s="203"/>
      <c r="Q25" s="224"/>
      <c r="R25" s="14">
        <v>104</v>
      </c>
      <c r="S25" s="14">
        <v>1</v>
      </c>
      <c r="T25" s="15">
        <v>8</v>
      </c>
      <c r="U25" s="174" t="s">
        <v>21</v>
      </c>
      <c r="V25" s="17">
        <v>0</v>
      </c>
      <c r="W25" s="17">
        <v>23677356.079999998</v>
      </c>
      <c r="X25" s="17">
        <v>-11095557.800000001</v>
      </c>
      <c r="Y25" s="223">
        <f t="shared" si="6"/>
        <v>12582</v>
      </c>
      <c r="Z25" s="216"/>
      <c r="AD25" s="20" t="str">
        <f t="shared" si="0"/>
        <v>1041INVEX CTA 0732 RESERVA INVER COMPLEMENTA</v>
      </c>
      <c r="AE25" s="20" t="str">
        <f>+VLOOKUP(AD25,Catálogo!E:F,2,0)</f>
        <v>Efectivo y equivalentes de efectivo</v>
      </c>
      <c r="AF25" s="20" t="str">
        <f>+VLOOKUP(AD25,Catálogo!E:G,3,0)</f>
        <v>Inversiones en valores realizables</v>
      </c>
    </row>
    <row r="26" spans="1:32">
      <c r="A26" s="6">
        <v>108</v>
      </c>
      <c r="B26" s="6">
        <v>0</v>
      </c>
      <c r="C26" s="7">
        <v>0</v>
      </c>
      <c r="D26" s="218" t="s">
        <v>22</v>
      </c>
      <c r="E26" s="22">
        <v>0</v>
      </c>
      <c r="F26" s="22">
        <v>2848819.52</v>
      </c>
      <c r="G26" s="22">
        <v>-2848819.52</v>
      </c>
      <c r="H26" s="22">
        <v>0</v>
      </c>
      <c r="I26" s="223"/>
      <c r="J26" s="194">
        <f t="shared" si="1"/>
        <v>0</v>
      </c>
      <c r="K26" s="201">
        <f t="shared" si="2"/>
        <v>0</v>
      </c>
      <c r="L26" s="201">
        <f t="shared" si="3"/>
        <v>0</v>
      </c>
      <c r="M26" s="202">
        <f t="shared" si="4"/>
        <v>0</v>
      </c>
      <c r="N26" s="180"/>
      <c r="O26" s="202">
        <f t="shared" si="5"/>
        <v>0</v>
      </c>
      <c r="P26" s="203"/>
      <c r="Q26" s="223"/>
      <c r="R26" s="6">
        <v>108</v>
      </c>
      <c r="S26" s="6">
        <v>0</v>
      </c>
      <c r="T26" s="7">
        <v>0</v>
      </c>
      <c r="U26" s="218" t="s">
        <v>22</v>
      </c>
      <c r="V26" s="22">
        <v>0</v>
      </c>
      <c r="W26" s="22">
        <v>2848819.52</v>
      </c>
      <c r="X26" s="22">
        <v>-2848819.52</v>
      </c>
      <c r="Y26" s="223">
        <f t="shared" si="6"/>
        <v>0</v>
      </c>
      <c r="Z26" s="216"/>
      <c r="AD26" s="20" t="str">
        <f t="shared" si="0"/>
        <v>1080CLIENTES</v>
      </c>
      <c r="AE26" s="20" t="e">
        <f>+VLOOKUP(AD26,Catálogo!E:F,2,0)</f>
        <v>#N/A</v>
      </c>
      <c r="AF26" s="20">
        <f>+VLOOKUP(AD26,Catálogo!E:G,3,0)</f>
        <v>0</v>
      </c>
    </row>
    <row r="27" spans="1:32">
      <c r="A27" s="14">
        <v>108</v>
      </c>
      <c r="B27" s="14">
        <v>1</v>
      </c>
      <c r="C27" s="15">
        <v>0</v>
      </c>
      <c r="D27" s="174" t="s">
        <v>23</v>
      </c>
      <c r="E27" s="13">
        <v>0</v>
      </c>
      <c r="F27" s="13">
        <v>2848819.52</v>
      </c>
      <c r="G27" s="13">
        <v>-2848819.52</v>
      </c>
      <c r="H27" s="13">
        <v>0</v>
      </c>
      <c r="I27" s="224"/>
      <c r="J27" s="194">
        <f t="shared" si="1"/>
        <v>0</v>
      </c>
      <c r="K27" s="201">
        <f t="shared" si="2"/>
        <v>0</v>
      </c>
      <c r="L27" s="201">
        <f t="shared" si="3"/>
        <v>0</v>
      </c>
      <c r="M27" s="202">
        <f t="shared" si="4"/>
        <v>0</v>
      </c>
      <c r="N27" s="180"/>
      <c r="O27" s="202">
        <f t="shared" si="5"/>
        <v>0</v>
      </c>
      <c r="P27" s="203"/>
      <c r="Q27" s="224"/>
      <c r="R27" s="14">
        <v>108</v>
      </c>
      <c r="S27" s="14">
        <v>1</v>
      </c>
      <c r="T27" s="15">
        <v>0</v>
      </c>
      <c r="U27" s="174" t="s">
        <v>23</v>
      </c>
      <c r="V27" s="17">
        <v>0</v>
      </c>
      <c r="W27" s="17">
        <v>2848819.52</v>
      </c>
      <c r="X27" s="17">
        <v>-2848819.52</v>
      </c>
      <c r="Y27" s="223">
        <f t="shared" si="6"/>
        <v>0</v>
      </c>
      <c r="Z27" s="216"/>
      <c r="AD27" s="20" t="str">
        <f t="shared" si="0"/>
        <v>1081CLIENTES M.N.</v>
      </c>
      <c r="AE27" s="20" t="e">
        <f>+VLOOKUP(AD27,Catálogo!E:F,2,0)</f>
        <v>#N/A</v>
      </c>
      <c r="AF27" s="20" t="s">
        <v>316</v>
      </c>
    </row>
    <row r="28" spans="1:32">
      <c r="A28" s="6">
        <v>109</v>
      </c>
      <c r="B28" s="6">
        <v>0</v>
      </c>
      <c r="C28" s="7">
        <v>0</v>
      </c>
      <c r="D28" s="218" t="s">
        <v>24</v>
      </c>
      <c r="E28" s="22">
        <v>15536081.16</v>
      </c>
      <c r="F28" s="22">
        <v>125982671.47</v>
      </c>
      <c r="G28" s="22">
        <v>-131567409.5</v>
      </c>
      <c r="H28" s="22">
        <v>9951343.1300000008</v>
      </c>
      <c r="I28" s="223"/>
      <c r="J28" s="194">
        <f t="shared" si="1"/>
        <v>9951</v>
      </c>
      <c r="K28" s="201">
        <f t="shared" si="2"/>
        <v>0</v>
      </c>
      <c r="L28" s="201">
        <f t="shared" si="3"/>
        <v>0</v>
      </c>
      <c r="M28" s="202">
        <f t="shared" si="4"/>
        <v>0</v>
      </c>
      <c r="N28" s="180"/>
      <c r="O28" s="202">
        <f t="shared" si="5"/>
        <v>0</v>
      </c>
      <c r="P28" s="203"/>
      <c r="Q28" s="223"/>
      <c r="R28" s="6">
        <v>109</v>
      </c>
      <c r="S28" s="6">
        <v>0</v>
      </c>
      <c r="T28" s="7">
        <v>0</v>
      </c>
      <c r="U28" s="218" t="s">
        <v>24</v>
      </c>
      <c r="V28" s="22">
        <v>15536081.16</v>
      </c>
      <c r="W28" s="22">
        <v>125982671.47</v>
      </c>
      <c r="X28" s="22">
        <v>-131567409.5</v>
      </c>
      <c r="Y28" s="223">
        <f t="shared" si="6"/>
        <v>0</v>
      </c>
      <c r="Z28" s="216"/>
      <c r="AD28" s="20" t="str">
        <f t="shared" si="0"/>
        <v>1090DEUDORES DIVERSOS</v>
      </c>
      <c r="AE28" s="20" t="e">
        <f>+VLOOKUP(AD28,Catálogo!E:F,2,0)</f>
        <v>#N/A</v>
      </c>
      <c r="AF28" s="20">
        <f>+VLOOKUP(AD28,Catálogo!E:G,3,0)</f>
        <v>0</v>
      </c>
    </row>
    <row r="29" spans="1:32">
      <c r="A29" s="14">
        <v>109</v>
      </c>
      <c r="B29" s="14">
        <v>1</v>
      </c>
      <c r="C29" s="15">
        <v>0</v>
      </c>
      <c r="D29" s="174" t="s">
        <v>25</v>
      </c>
      <c r="E29" s="13">
        <v>15536081.16</v>
      </c>
      <c r="F29" s="13">
        <v>125982671.47</v>
      </c>
      <c r="G29" s="13">
        <v>-131567409.5</v>
      </c>
      <c r="H29" s="13">
        <v>9951343.1300000008</v>
      </c>
      <c r="I29" s="224"/>
      <c r="J29" s="194">
        <f t="shared" si="1"/>
        <v>9951</v>
      </c>
      <c r="K29" s="201" t="str">
        <f t="shared" si="2"/>
        <v>Deu</v>
      </c>
      <c r="L29" s="201" t="str">
        <f t="shared" si="3"/>
        <v>ok</v>
      </c>
      <c r="M29" s="202">
        <f t="shared" si="4"/>
        <v>9951</v>
      </c>
      <c r="N29" s="180">
        <f>-SUM(M11:M251)</f>
        <v>1</v>
      </c>
      <c r="O29" s="202">
        <f t="shared" si="5"/>
        <v>9952</v>
      </c>
      <c r="P29" s="203"/>
      <c r="Q29" s="224"/>
      <c r="R29" s="14">
        <v>109</v>
      </c>
      <c r="S29" s="14">
        <v>1</v>
      </c>
      <c r="T29" s="15">
        <v>0</v>
      </c>
      <c r="U29" s="174" t="s">
        <v>25</v>
      </c>
      <c r="V29" s="17">
        <v>15536081.16</v>
      </c>
      <c r="W29" s="17">
        <v>125982671.47</v>
      </c>
      <c r="X29" s="17">
        <v>-131567409.5</v>
      </c>
      <c r="Y29" s="223">
        <f t="shared" si="6"/>
        <v>9952</v>
      </c>
      <c r="Z29" s="216"/>
      <c r="AD29" s="20" t="str">
        <f t="shared" si="0"/>
        <v>1091DEUDORES DIVERSOS M.N.</v>
      </c>
      <c r="AE29" s="20" t="str">
        <f>+VLOOKUP(AD29,Catálogo!E:F,2,0)</f>
        <v>Deudores diversos y otras cuentas por cobrar</v>
      </c>
      <c r="AF29" s="20">
        <f>+VLOOKUP(AD29,Catálogo!E:G,3,0)</f>
        <v>0</v>
      </c>
    </row>
    <row r="30" spans="1:32">
      <c r="A30" s="6">
        <v>113</v>
      </c>
      <c r="B30" s="6">
        <v>0</v>
      </c>
      <c r="C30" s="7">
        <v>0</v>
      </c>
      <c r="D30" s="218" t="s">
        <v>26</v>
      </c>
      <c r="E30" s="22">
        <v>7040.35</v>
      </c>
      <c r="F30" s="22">
        <v>8828.4699999999993</v>
      </c>
      <c r="G30" s="22">
        <v>0</v>
      </c>
      <c r="H30" s="22">
        <v>15868.82</v>
      </c>
      <c r="I30" s="223"/>
      <c r="J30" s="194">
        <f t="shared" si="1"/>
        <v>16</v>
      </c>
      <c r="K30" s="201">
        <f t="shared" si="2"/>
        <v>0</v>
      </c>
      <c r="L30" s="201">
        <f t="shared" si="3"/>
        <v>0</v>
      </c>
      <c r="M30" s="202">
        <f t="shared" si="4"/>
        <v>0</v>
      </c>
      <c r="N30" s="180"/>
      <c r="O30" s="202">
        <f t="shared" si="5"/>
        <v>0</v>
      </c>
      <c r="P30" s="203"/>
      <c r="Q30" s="223"/>
      <c r="R30" s="6">
        <v>113</v>
      </c>
      <c r="S30" s="6">
        <v>0</v>
      </c>
      <c r="T30" s="7">
        <v>0</v>
      </c>
      <c r="U30" s="218" t="s">
        <v>26</v>
      </c>
      <c r="V30" s="22">
        <v>7040.35</v>
      </c>
      <c r="W30" s="22">
        <v>8828.4699999999993</v>
      </c>
      <c r="X30" s="22">
        <v>0</v>
      </c>
      <c r="Y30" s="223">
        <f t="shared" si="6"/>
        <v>0</v>
      </c>
      <c r="Z30" s="216"/>
      <c r="AD30" s="20" t="str">
        <f t="shared" si="0"/>
        <v>1130ANTICIPO DE IMPUESTOS</v>
      </c>
      <c r="AE30" s="20" t="e">
        <f>+VLOOKUP(AD30,Catálogo!E:F,2,0)</f>
        <v>#N/A</v>
      </c>
      <c r="AF30" s="20">
        <f>+VLOOKUP(AD30,Catálogo!E:G,3,0)</f>
        <v>0</v>
      </c>
    </row>
    <row r="31" spans="1:32">
      <c r="A31" s="10">
        <v>113</v>
      </c>
      <c r="B31" s="10">
        <v>1</v>
      </c>
      <c r="C31" s="11">
        <v>0</v>
      </c>
      <c r="D31" s="219" t="s">
        <v>27</v>
      </c>
      <c r="E31" s="24">
        <v>7040.35</v>
      </c>
      <c r="F31" s="24">
        <v>8828.4699999999993</v>
      </c>
      <c r="G31" s="24">
        <v>0</v>
      </c>
      <c r="H31" s="24">
        <v>15868.82</v>
      </c>
      <c r="I31" s="224"/>
      <c r="J31" s="194">
        <f t="shared" si="1"/>
        <v>16</v>
      </c>
      <c r="K31" s="201">
        <f t="shared" si="2"/>
        <v>0</v>
      </c>
      <c r="L31" s="201">
        <f t="shared" si="3"/>
        <v>0</v>
      </c>
      <c r="M31" s="202">
        <f t="shared" si="4"/>
        <v>0</v>
      </c>
      <c r="N31" s="180"/>
      <c r="O31" s="202">
        <f t="shared" si="5"/>
        <v>0</v>
      </c>
      <c r="P31" s="203"/>
      <c r="Q31" s="224"/>
      <c r="R31" s="10">
        <v>113</v>
      </c>
      <c r="S31" s="10">
        <v>1</v>
      </c>
      <c r="T31" s="11">
        <v>0</v>
      </c>
      <c r="U31" s="219" t="s">
        <v>27</v>
      </c>
      <c r="V31" s="23">
        <v>7040.35</v>
      </c>
      <c r="W31" s="23">
        <v>8828.4699999999993</v>
      </c>
      <c r="X31" s="23">
        <v>0</v>
      </c>
      <c r="Y31" s="223">
        <f t="shared" si="6"/>
        <v>0</v>
      </c>
      <c r="Z31" s="216"/>
      <c r="AD31" s="20" t="str">
        <f t="shared" si="0"/>
        <v>1131ISR</v>
      </c>
      <c r="AE31" s="20" t="e">
        <f>+VLOOKUP(AD31,Catálogo!E:F,2,0)</f>
        <v>#N/A</v>
      </c>
      <c r="AF31" s="20">
        <f>+VLOOKUP(AD31,Catálogo!E:G,3,0)</f>
        <v>0</v>
      </c>
    </row>
    <row r="32" spans="1:32">
      <c r="A32" s="14">
        <v>113</v>
      </c>
      <c r="B32" s="14">
        <v>1</v>
      </c>
      <c r="C32" s="15">
        <v>1</v>
      </c>
      <c r="D32" s="174" t="s">
        <v>28</v>
      </c>
      <c r="E32" s="13">
        <v>0</v>
      </c>
      <c r="F32" s="13">
        <v>12.15</v>
      </c>
      <c r="G32" s="13">
        <v>0</v>
      </c>
      <c r="H32" s="13">
        <v>12.15</v>
      </c>
      <c r="I32" s="224"/>
      <c r="J32" s="194">
        <f t="shared" si="1"/>
        <v>0</v>
      </c>
      <c r="K32" s="201" t="str">
        <f t="shared" si="2"/>
        <v>Imp</v>
      </c>
      <c r="L32" s="201" t="str">
        <f t="shared" si="3"/>
        <v>ok</v>
      </c>
      <c r="M32" s="202">
        <f t="shared" si="4"/>
        <v>0</v>
      </c>
      <c r="N32" s="180"/>
      <c r="O32" s="202">
        <f t="shared" si="5"/>
        <v>0</v>
      </c>
      <c r="P32" s="203"/>
      <c r="Q32" s="224"/>
      <c r="R32" s="14">
        <v>113</v>
      </c>
      <c r="S32" s="14">
        <v>1</v>
      </c>
      <c r="T32" s="15">
        <v>1</v>
      </c>
      <c r="U32" s="174" t="s">
        <v>28</v>
      </c>
      <c r="V32" s="17">
        <v>0</v>
      </c>
      <c r="W32" s="17">
        <v>12.15</v>
      </c>
      <c r="X32" s="17">
        <v>0</v>
      </c>
      <c r="Y32" s="223">
        <f t="shared" si="6"/>
        <v>0</v>
      </c>
      <c r="Z32" s="216"/>
      <c r="AD32" s="20" t="str">
        <f t="shared" si="0"/>
        <v>1131ISR PAGO PROVISIONALES</v>
      </c>
      <c r="AE32" s="20" t="str">
        <f>+VLOOKUP(AD32,Catálogo!E:F,2,0)</f>
        <v>Impuestos por recuperar</v>
      </c>
      <c r="AF32" s="20" t="str">
        <f>+VLOOKUP(AD32,Catálogo!E:G,3,0)</f>
        <v>ISR Retenido</v>
      </c>
    </row>
    <row r="33" spans="1:32">
      <c r="A33" s="14">
        <v>113</v>
      </c>
      <c r="B33" s="14">
        <v>1</v>
      </c>
      <c r="C33" s="15">
        <v>2</v>
      </c>
      <c r="D33" s="174" t="s">
        <v>30</v>
      </c>
      <c r="E33" s="13">
        <v>7040.35</v>
      </c>
      <c r="F33" s="13">
        <v>8816.32</v>
      </c>
      <c r="G33" s="13">
        <v>0</v>
      </c>
      <c r="H33" s="13">
        <v>15856.67</v>
      </c>
      <c r="I33" s="224"/>
      <c r="J33" s="194">
        <f t="shared" si="1"/>
        <v>16</v>
      </c>
      <c r="K33" s="201" t="str">
        <f t="shared" si="2"/>
        <v>Imp</v>
      </c>
      <c r="L33" s="201" t="str">
        <f t="shared" si="3"/>
        <v>ok</v>
      </c>
      <c r="M33" s="202">
        <f t="shared" si="4"/>
        <v>16</v>
      </c>
      <c r="N33" s="180"/>
      <c r="O33" s="202">
        <f t="shared" si="5"/>
        <v>16</v>
      </c>
      <c r="P33" s="203"/>
      <c r="Q33" s="224"/>
      <c r="R33" s="14">
        <v>113</v>
      </c>
      <c r="S33" s="14">
        <v>1</v>
      </c>
      <c r="T33" s="15">
        <v>2</v>
      </c>
      <c r="U33" s="174" t="s">
        <v>30</v>
      </c>
      <c r="V33" s="17">
        <v>7040.35</v>
      </c>
      <c r="W33" s="17">
        <v>8816.32</v>
      </c>
      <c r="X33" s="17">
        <v>0</v>
      </c>
      <c r="Y33" s="223">
        <f t="shared" si="6"/>
        <v>16</v>
      </c>
      <c r="Z33" s="216"/>
      <c r="AD33" s="20" t="str">
        <f t="shared" si="0"/>
        <v>1131ISR RETENCIONES BANCOS</v>
      </c>
      <c r="AE33" s="20" t="str">
        <f>+VLOOKUP(AD33,Catálogo!E:F,2,0)</f>
        <v>Impuestos por recuperar</v>
      </c>
      <c r="AF33" s="20" t="str">
        <f>+VLOOKUP(AD33,Catálogo!E:G,3,0)</f>
        <v>ISR Retenido</v>
      </c>
    </row>
    <row r="34" spans="1:32">
      <c r="A34" s="6">
        <v>114</v>
      </c>
      <c r="B34" s="6">
        <v>0</v>
      </c>
      <c r="C34" s="7">
        <v>0</v>
      </c>
      <c r="D34" s="218" t="s">
        <v>31</v>
      </c>
      <c r="E34" s="22">
        <v>21849234.48</v>
      </c>
      <c r="F34" s="22">
        <v>19850153.59</v>
      </c>
      <c r="G34" s="22">
        <v>-392940.62</v>
      </c>
      <c r="H34" s="22">
        <v>41306447.450000003</v>
      </c>
      <c r="I34" s="223"/>
      <c r="J34" s="194">
        <f t="shared" si="1"/>
        <v>41306</v>
      </c>
      <c r="K34" s="201">
        <f t="shared" si="2"/>
        <v>0</v>
      </c>
      <c r="L34" s="201">
        <f t="shared" si="3"/>
        <v>0</v>
      </c>
      <c r="M34" s="202">
        <f t="shared" si="4"/>
        <v>0</v>
      </c>
      <c r="N34" s="180"/>
      <c r="O34" s="202">
        <f t="shared" si="5"/>
        <v>0</v>
      </c>
      <c r="P34" s="203"/>
      <c r="Q34" s="223"/>
      <c r="R34" s="6">
        <v>114</v>
      </c>
      <c r="S34" s="6">
        <v>0</v>
      </c>
      <c r="T34" s="7">
        <v>0</v>
      </c>
      <c r="U34" s="218" t="s">
        <v>31</v>
      </c>
      <c r="V34" s="22">
        <v>21849234.48</v>
      </c>
      <c r="W34" s="22">
        <v>19850153.59</v>
      </c>
      <c r="X34" s="22">
        <v>-392940.62</v>
      </c>
      <c r="Y34" s="223">
        <f t="shared" si="6"/>
        <v>0</v>
      </c>
      <c r="Z34" s="216"/>
      <c r="AD34" s="20" t="str">
        <f t="shared" si="0"/>
        <v>1140IMPUESTOS A FAVOR</v>
      </c>
      <c r="AE34" s="20" t="e">
        <f>+VLOOKUP(AD34,Catálogo!E:F,2,0)</f>
        <v>#N/A</v>
      </c>
      <c r="AF34" s="20">
        <f>+VLOOKUP(AD34,Catálogo!E:G,3,0)</f>
        <v>0</v>
      </c>
    </row>
    <row r="35" spans="1:32">
      <c r="A35" s="10">
        <v>114</v>
      </c>
      <c r="B35" s="10">
        <v>1</v>
      </c>
      <c r="C35" s="11">
        <v>0</v>
      </c>
      <c r="D35" s="219" t="s">
        <v>32</v>
      </c>
      <c r="E35" s="24">
        <v>21849234.48</v>
      </c>
      <c r="F35" s="24">
        <v>19850153.59</v>
      </c>
      <c r="G35" s="24">
        <v>-392940.62</v>
      </c>
      <c r="H35" s="24">
        <v>41306447.450000003</v>
      </c>
      <c r="I35" s="224"/>
      <c r="J35" s="194">
        <f t="shared" si="1"/>
        <v>41306</v>
      </c>
      <c r="K35" s="201">
        <f t="shared" si="2"/>
        <v>0</v>
      </c>
      <c r="L35" s="201">
        <f t="shared" si="3"/>
        <v>0</v>
      </c>
      <c r="M35" s="202">
        <f t="shared" si="4"/>
        <v>0</v>
      </c>
      <c r="N35" s="180"/>
      <c r="O35" s="202">
        <f t="shared" si="5"/>
        <v>0</v>
      </c>
      <c r="P35" s="203"/>
      <c r="Q35" s="224"/>
      <c r="R35" s="10">
        <v>114</v>
      </c>
      <c r="S35" s="10">
        <v>1</v>
      </c>
      <c r="T35" s="11">
        <v>0</v>
      </c>
      <c r="U35" s="219" t="s">
        <v>32</v>
      </c>
      <c r="V35" s="23">
        <v>21849234.48</v>
      </c>
      <c r="W35" s="23">
        <v>19850153.59</v>
      </c>
      <c r="X35" s="23">
        <v>-392940.62</v>
      </c>
      <c r="Y35" s="223">
        <f t="shared" si="6"/>
        <v>0</v>
      </c>
      <c r="Z35" s="216"/>
      <c r="AD35" s="20" t="str">
        <f t="shared" si="0"/>
        <v>1141IVA SALDO A FAVOR</v>
      </c>
      <c r="AE35" s="20" t="e">
        <f>+VLOOKUP(AD35,Catálogo!E:F,2,0)</f>
        <v>#N/A</v>
      </c>
      <c r="AF35" s="20">
        <f>+VLOOKUP(AD35,Catálogo!E:G,3,0)</f>
        <v>0</v>
      </c>
    </row>
    <row r="36" spans="1:32">
      <c r="A36" s="14">
        <v>114</v>
      </c>
      <c r="B36" s="14">
        <v>1</v>
      </c>
      <c r="C36" s="15">
        <v>1</v>
      </c>
      <c r="D36" s="174" t="s">
        <v>33</v>
      </c>
      <c r="E36" s="13">
        <v>21849234.48</v>
      </c>
      <c r="F36" s="13">
        <v>19850153.59</v>
      </c>
      <c r="G36" s="13">
        <v>-392940.62</v>
      </c>
      <c r="H36" s="13">
        <v>41306447.450000003</v>
      </c>
      <c r="I36" s="224"/>
      <c r="J36" s="194">
        <f t="shared" si="1"/>
        <v>41306</v>
      </c>
      <c r="K36" s="201" t="str">
        <f t="shared" si="2"/>
        <v>Inv</v>
      </c>
      <c r="L36" s="201" t="str">
        <f t="shared" si="3"/>
        <v>ok</v>
      </c>
      <c r="M36" s="202">
        <f t="shared" si="4"/>
        <v>41306</v>
      </c>
      <c r="N36" s="180"/>
      <c r="O36" s="202">
        <f t="shared" si="5"/>
        <v>41306</v>
      </c>
      <c r="P36" s="203"/>
      <c r="Q36" s="224"/>
      <c r="R36" s="14">
        <v>114</v>
      </c>
      <c r="S36" s="14">
        <v>1</v>
      </c>
      <c r="T36" s="15">
        <v>1</v>
      </c>
      <c r="U36" s="174" t="s">
        <v>33</v>
      </c>
      <c r="V36" s="17">
        <v>21849234.48</v>
      </c>
      <c r="W36" s="17">
        <v>19850153.59</v>
      </c>
      <c r="X36" s="17">
        <v>-392940.62</v>
      </c>
      <c r="Y36" s="223">
        <f t="shared" si="6"/>
        <v>41306</v>
      </c>
      <c r="Z36" s="216"/>
      <c r="AD36" s="20" t="str">
        <f t="shared" si="0"/>
        <v>1141IVA SALDO A FAVOR AL 16%</v>
      </c>
      <c r="AE36" s="20" t="str">
        <f>+VLOOKUP(AD36,Catálogo!E:F,2,0)</f>
        <v xml:space="preserve">Inventarios inmobiliarios y costos pagados por anticipado </v>
      </c>
      <c r="AF36" s="20" t="str">
        <f>+VLOOKUP(AD36,Catálogo!E:G,3,0)</f>
        <v>Impuesto al Valor Agregado</v>
      </c>
    </row>
    <row r="37" spans="1:32">
      <c r="A37" s="6">
        <v>115</v>
      </c>
      <c r="B37" s="6">
        <v>0</v>
      </c>
      <c r="C37" s="7">
        <v>0</v>
      </c>
      <c r="D37" s="218" t="s">
        <v>34</v>
      </c>
      <c r="E37" s="22">
        <v>3744074.64</v>
      </c>
      <c r="F37" s="22">
        <v>18144823.5</v>
      </c>
      <c r="G37" s="22">
        <v>-19851506.690000001</v>
      </c>
      <c r="H37" s="22">
        <v>2037391.45</v>
      </c>
      <c r="I37" s="223"/>
      <c r="J37" s="194">
        <f t="shared" si="1"/>
        <v>2037</v>
      </c>
      <c r="K37" s="201">
        <f t="shared" si="2"/>
        <v>0</v>
      </c>
      <c r="L37" s="201">
        <f t="shared" si="3"/>
        <v>0</v>
      </c>
      <c r="M37" s="202">
        <f t="shared" si="4"/>
        <v>0</v>
      </c>
      <c r="N37" s="180"/>
      <c r="O37" s="202">
        <f t="shared" si="5"/>
        <v>0</v>
      </c>
      <c r="P37" s="203"/>
      <c r="Q37" s="223"/>
      <c r="R37" s="6">
        <v>115</v>
      </c>
      <c r="S37" s="6">
        <v>0</v>
      </c>
      <c r="T37" s="7">
        <v>0</v>
      </c>
      <c r="U37" s="218" t="s">
        <v>34</v>
      </c>
      <c r="V37" s="22">
        <v>3744074.64</v>
      </c>
      <c r="W37" s="22">
        <v>18144823.5</v>
      </c>
      <c r="X37" s="22">
        <v>-19851506.690000001</v>
      </c>
      <c r="Y37" s="223">
        <f t="shared" si="6"/>
        <v>0</v>
      </c>
      <c r="Z37" s="216"/>
      <c r="AD37" s="20" t="str">
        <f t="shared" si="0"/>
        <v>1150IMPUESTOS A FAVOR NO CAUSADO</v>
      </c>
      <c r="AE37" s="20" t="e">
        <f>+VLOOKUP(AD37,Catálogo!E:F,2,0)</f>
        <v>#N/A</v>
      </c>
      <c r="AF37" s="20">
        <f>+VLOOKUP(AD37,Catálogo!E:G,3,0)</f>
        <v>0</v>
      </c>
    </row>
    <row r="38" spans="1:32">
      <c r="A38" s="10">
        <v>115</v>
      </c>
      <c r="B38" s="10">
        <v>1</v>
      </c>
      <c r="C38" s="11">
        <v>0</v>
      </c>
      <c r="D38" s="219" t="s">
        <v>35</v>
      </c>
      <c r="E38" s="24">
        <v>3744074.64</v>
      </c>
      <c r="F38" s="24">
        <v>18144823.5</v>
      </c>
      <c r="G38" s="24">
        <v>-19851506.690000001</v>
      </c>
      <c r="H38" s="24">
        <v>2037391.45</v>
      </c>
      <c r="I38" s="224"/>
      <c r="J38" s="194">
        <f t="shared" si="1"/>
        <v>2037</v>
      </c>
      <c r="K38" s="201">
        <f t="shared" si="2"/>
        <v>0</v>
      </c>
      <c r="L38" s="201">
        <f t="shared" si="3"/>
        <v>0</v>
      </c>
      <c r="M38" s="202">
        <f t="shared" si="4"/>
        <v>0</v>
      </c>
      <c r="N38" s="180"/>
      <c r="O38" s="202">
        <f t="shared" si="5"/>
        <v>0</v>
      </c>
      <c r="P38" s="203"/>
      <c r="Q38" s="224"/>
      <c r="R38" s="10">
        <v>115</v>
      </c>
      <c r="S38" s="10">
        <v>1</v>
      </c>
      <c r="T38" s="11">
        <v>0</v>
      </c>
      <c r="U38" s="219" t="s">
        <v>35</v>
      </c>
      <c r="V38" s="23">
        <v>3744074.64</v>
      </c>
      <c r="W38" s="23">
        <v>18144823.5</v>
      </c>
      <c r="X38" s="23">
        <v>-19851506.690000001</v>
      </c>
      <c r="Y38" s="223">
        <f t="shared" si="6"/>
        <v>0</v>
      </c>
      <c r="Z38" s="216"/>
      <c r="AD38" s="20" t="str">
        <f t="shared" si="0"/>
        <v>1151IVA ACREDITABLE NO PAGADO</v>
      </c>
      <c r="AE38" s="20" t="e">
        <f>+VLOOKUP(AD38,Catálogo!E:F,2,0)</f>
        <v>#N/A</v>
      </c>
      <c r="AF38" s="20">
        <f>+VLOOKUP(AD38,Catálogo!E:G,3,0)</f>
        <v>0</v>
      </c>
    </row>
    <row r="39" spans="1:32">
      <c r="A39" s="14">
        <v>115</v>
      </c>
      <c r="B39" s="14">
        <v>1</v>
      </c>
      <c r="C39" s="15">
        <v>1</v>
      </c>
      <c r="D39" s="174" t="s">
        <v>36</v>
      </c>
      <c r="E39" s="13">
        <v>3744074.64</v>
      </c>
      <c r="F39" s="13">
        <v>18144823.5</v>
      </c>
      <c r="G39" s="13">
        <v>-19851506.690000001</v>
      </c>
      <c r="H39" s="13">
        <v>2037391.45</v>
      </c>
      <c r="I39" s="224"/>
      <c r="J39" s="194">
        <f t="shared" si="1"/>
        <v>2037</v>
      </c>
      <c r="K39" s="201" t="str">
        <f t="shared" si="2"/>
        <v>Deu</v>
      </c>
      <c r="L39" s="201" t="str">
        <f t="shared" si="3"/>
        <v>ok</v>
      </c>
      <c r="M39" s="202">
        <f t="shared" si="4"/>
        <v>2037</v>
      </c>
      <c r="N39" s="180"/>
      <c r="O39" s="202">
        <f t="shared" si="5"/>
        <v>2037</v>
      </c>
      <c r="P39" s="203"/>
      <c r="Q39" s="224"/>
      <c r="R39" s="14">
        <v>115</v>
      </c>
      <c r="S39" s="14">
        <v>1</v>
      </c>
      <c r="T39" s="15">
        <v>1</v>
      </c>
      <c r="U39" s="174" t="s">
        <v>36</v>
      </c>
      <c r="V39" s="17">
        <v>3744074.64</v>
      </c>
      <c r="W39" s="17">
        <v>18144823.5</v>
      </c>
      <c r="X39" s="17">
        <v>-19851506.690000001</v>
      </c>
      <c r="Y39" s="223">
        <f t="shared" si="6"/>
        <v>2037</v>
      </c>
      <c r="Z39" s="216"/>
      <c r="AD39" s="20" t="str">
        <f t="shared" si="0"/>
        <v>1151IVA ACREDITABLE NO PAGADO AL 16%</v>
      </c>
      <c r="AE39" s="20" t="str">
        <f>+VLOOKUP(AD39,Catálogo!E:F,2,0)</f>
        <v>Deudores diversos y otras cuentas por cobrar</v>
      </c>
      <c r="AF39" s="20">
        <f>+VLOOKUP(AD39,Catálogo!E:G,3,0)</f>
        <v>0</v>
      </c>
    </row>
    <row r="40" spans="1:32">
      <c r="A40" s="6">
        <v>120</v>
      </c>
      <c r="B40" s="6">
        <v>0</v>
      </c>
      <c r="C40" s="7">
        <v>0</v>
      </c>
      <c r="D40" s="218" t="s">
        <v>37</v>
      </c>
      <c r="E40" s="22">
        <v>10998418.27</v>
      </c>
      <c r="F40" s="22">
        <v>0</v>
      </c>
      <c r="G40" s="22">
        <v>0</v>
      </c>
      <c r="H40" s="22">
        <v>10998418.27</v>
      </c>
      <c r="I40" s="223"/>
      <c r="J40" s="194">
        <f t="shared" si="1"/>
        <v>10998</v>
      </c>
      <c r="K40" s="201">
        <f t="shared" si="2"/>
        <v>0</v>
      </c>
      <c r="L40" s="201">
        <f t="shared" si="3"/>
        <v>0</v>
      </c>
      <c r="M40" s="202">
        <f t="shared" si="4"/>
        <v>0</v>
      </c>
      <c r="N40" s="180"/>
      <c r="O40" s="202">
        <f t="shared" si="5"/>
        <v>0</v>
      </c>
      <c r="P40" s="203"/>
      <c r="Q40" s="223"/>
      <c r="R40" s="6">
        <v>120</v>
      </c>
      <c r="S40" s="6">
        <v>0</v>
      </c>
      <c r="T40" s="7">
        <v>0</v>
      </c>
      <c r="U40" s="218" t="s">
        <v>37</v>
      </c>
      <c r="V40" s="22">
        <v>10998418.27</v>
      </c>
      <c r="W40" s="22">
        <v>0</v>
      </c>
      <c r="X40" s="22">
        <v>0</v>
      </c>
      <c r="Y40" s="223">
        <f t="shared" si="6"/>
        <v>0</v>
      </c>
      <c r="Z40" s="216"/>
      <c r="AD40" s="20" t="str">
        <f t="shared" si="0"/>
        <v>1200ANTICIPOS CONSTRUCCION</v>
      </c>
      <c r="AE40" s="20" t="e">
        <f>+VLOOKUP(AD40,Catálogo!E:F,2,0)</f>
        <v>#N/A</v>
      </c>
      <c r="AF40" s="20">
        <f>+VLOOKUP(AD40,Catálogo!E:G,3,0)</f>
        <v>0</v>
      </c>
    </row>
    <row r="41" spans="1:32">
      <c r="A41" s="14">
        <v>120</v>
      </c>
      <c r="B41" s="14">
        <v>1</v>
      </c>
      <c r="C41" s="15">
        <v>0</v>
      </c>
      <c r="D41" s="174" t="s">
        <v>38</v>
      </c>
      <c r="E41" s="13">
        <v>10998418.27</v>
      </c>
      <c r="F41" s="13">
        <v>0</v>
      </c>
      <c r="G41" s="13">
        <v>0</v>
      </c>
      <c r="H41" s="13">
        <v>10998418.27</v>
      </c>
      <c r="I41" s="224"/>
      <c r="J41" s="194">
        <f t="shared" si="1"/>
        <v>10998</v>
      </c>
      <c r="K41" s="201" t="str">
        <f t="shared" si="2"/>
        <v>Inv</v>
      </c>
      <c r="L41" s="201" t="str">
        <f t="shared" si="3"/>
        <v>ok</v>
      </c>
      <c r="M41" s="202">
        <f t="shared" si="4"/>
        <v>10998</v>
      </c>
      <c r="N41" s="180"/>
      <c r="O41" s="202">
        <f t="shared" si="5"/>
        <v>10998</v>
      </c>
      <c r="P41" s="203"/>
      <c r="Q41" s="224"/>
      <c r="R41" s="14">
        <v>120</v>
      </c>
      <c r="S41" s="14">
        <v>1</v>
      </c>
      <c r="T41" s="15">
        <v>0</v>
      </c>
      <c r="U41" s="174" t="s">
        <v>38</v>
      </c>
      <c r="V41" s="17">
        <v>10998418.27</v>
      </c>
      <c r="W41" s="17">
        <v>0</v>
      </c>
      <c r="X41" s="17">
        <v>0</v>
      </c>
      <c r="Y41" s="223">
        <f t="shared" si="6"/>
        <v>10998</v>
      </c>
      <c r="Z41" s="216"/>
      <c r="AD41" s="20" t="str">
        <f t="shared" si="0"/>
        <v>1201ANTICIPOS CONSTRUCCION M.N.</v>
      </c>
      <c r="AE41" s="20" t="str">
        <f>+VLOOKUP(AD41,Catálogo!E:F,2,0)</f>
        <v xml:space="preserve">Inventarios inmobiliarios y costos pagados por anticipado </v>
      </c>
      <c r="AF41" s="20" t="str">
        <f>+VLOOKUP(AD41,Catálogo!E:G,3,0)</f>
        <v>Otros pagos anticipados (v)</v>
      </c>
    </row>
    <row r="42" spans="1:32">
      <c r="A42" s="6">
        <v>121</v>
      </c>
      <c r="B42" s="6">
        <v>0</v>
      </c>
      <c r="C42" s="7">
        <v>0</v>
      </c>
      <c r="D42" s="218" t="s">
        <v>39</v>
      </c>
      <c r="E42" s="22">
        <v>388000000</v>
      </c>
      <c r="F42" s="22">
        <v>0</v>
      </c>
      <c r="G42" s="22">
        <v>0</v>
      </c>
      <c r="H42" s="22">
        <v>388000000</v>
      </c>
      <c r="I42" s="223"/>
      <c r="J42" s="194">
        <f t="shared" si="1"/>
        <v>388000</v>
      </c>
      <c r="K42" s="201">
        <f t="shared" si="2"/>
        <v>0</v>
      </c>
      <c r="L42" s="201">
        <f t="shared" si="3"/>
        <v>0</v>
      </c>
      <c r="M42" s="202">
        <f t="shared" si="4"/>
        <v>0</v>
      </c>
      <c r="N42" s="180"/>
      <c r="O42" s="202">
        <f t="shared" si="5"/>
        <v>0</v>
      </c>
      <c r="P42" s="203"/>
      <c r="Q42" s="223"/>
      <c r="R42" s="6">
        <v>121</v>
      </c>
      <c r="S42" s="6">
        <v>0</v>
      </c>
      <c r="T42" s="7">
        <v>0</v>
      </c>
      <c r="U42" s="218" t="s">
        <v>39</v>
      </c>
      <c r="V42" s="22">
        <v>388000000</v>
      </c>
      <c r="W42" s="22">
        <v>0</v>
      </c>
      <c r="X42" s="22">
        <v>0</v>
      </c>
      <c r="Y42" s="223">
        <f t="shared" si="6"/>
        <v>0</v>
      </c>
      <c r="Z42" s="216"/>
      <c r="AD42" s="20" t="str">
        <f t="shared" si="0"/>
        <v>1210TERRENOS</v>
      </c>
      <c r="AE42" s="20" t="e">
        <f>+VLOOKUP(AD42,Catálogo!E:F,2,0)</f>
        <v>#N/A</v>
      </c>
      <c r="AF42" s="20">
        <f>+VLOOKUP(AD42,Catálogo!E:G,3,0)</f>
        <v>0</v>
      </c>
    </row>
    <row r="43" spans="1:32">
      <c r="A43" s="10">
        <v>121</v>
      </c>
      <c r="B43" s="10">
        <v>1</v>
      </c>
      <c r="C43" s="11">
        <v>0</v>
      </c>
      <c r="D43" s="219" t="s">
        <v>40</v>
      </c>
      <c r="E43" s="24">
        <v>388000000</v>
      </c>
      <c r="F43" s="24">
        <v>0</v>
      </c>
      <c r="G43" s="24">
        <v>0</v>
      </c>
      <c r="H43" s="24">
        <v>388000000</v>
      </c>
      <c r="I43" s="224"/>
      <c r="J43" s="194">
        <f t="shared" si="1"/>
        <v>388000</v>
      </c>
      <c r="K43" s="201">
        <f t="shared" si="2"/>
        <v>0</v>
      </c>
      <c r="L43" s="201">
        <f t="shared" si="3"/>
        <v>0</v>
      </c>
      <c r="M43" s="202">
        <f t="shared" si="4"/>
        <v>0</v>
      </c>
      <c r="N43" s="180"/>
      <c r="O43" s="202">
        <f t="shared" si="5"/>
        <v>0</v>
      </c>
      <c r="P43" s="203"/>
      <c r="Q43" s="224"/>
      <c r="R43" s="10">
        <v>121</v>
      </c>
      <c r="S43" s="10">
        <v>1</v>
      </c>
      <c r="T43" s="11">
        <v>0</v>
      </c>
      <c r="U43" s="219" t="s">
        <v>40</v>
      </c>
      <c r="V43" s="23">
        <v>388000000</v>
      </c>
      <c r="W43" s="23">
        <v>0</v>
      </c>
      <c r="X43" s="23">
        <v>0</v>
      </c>
      <c r="Y43" s="223">
        <f t="shared" si="6"/>
        <v>0</v>
      </c>
      <c r="Z43" s="216"/>
      <c r="AD43" s="20" t="str">
        <f t="shared" si="0"/>
        <v>1211INVERSIÓN</v>
      </c>
      <c r="AE43" s="20" t="e">
        <f>+VLOOKUP(AD43,Catálogo!E:F,2,0)</f>
        <v>#N/A</v>
      </c>
      <c r="AF43" s="20">
        <f>+VLOOKUP(AD43,Catálogo!E:G,3,0)</f>
        <v>0</v>
      </c>
    </row>
    <row r="44" spans="1:32">
      <c r="A44" s="14">
        <v>121</v>
      </c>
      <c r="B44" s="14">
        <v>1</v>
      </c>
      <c r="C44" s="15">
        <v>1</v>
      </c>
      <c r="D44" s="174" t="s">
        <v>41</v>
      </c>
      <c r="E44" s="13">
        <v>187251633.56999999</v>
      </c>
      <c r="F44" s="13">
        <v>0</v>
      </c>
      <c r="G44" s="13">
        <v>0</v>
      </c>
      <c r="H44" s="13">
        <v>187251633.56999999</v>
      </c>
      <c r="I44" s="224"/>
      <c r="J44" s="194">
        <f t="shared" si="1"/>
        <v>187252</v>
      </c>
      <c r="K44" s="201" t="str">
        <f t="shared" si="2"/>
        <v>Inv</v>
      </c>
      <c r="L44" s="201" t="str">
        <f t="shared" si="3"/>
        <v>ok</v>
      </c>
      <c r="M44" s="202">
        <f t="shared" si="4"/>
        <v>187252</v>
      </c>
      <c r="N44" s="180"/>
      <c r="O44" s="202">
        <f t="shared" si="5"/>
        <v>187252</v>
      </c>
      <c r="P44" s="203"/>
      <c r="Q44" s="224"/>
      <c r="R44" s="14">
        <v>121</v>
      </c>
      <c r="S44" s="14">
        <v>1</v>
      </c>
      <c r="T44" s="15">
        <v>1</v>
      </c>
      <c r="U44" s="174" t="s">
        <v>41</v>
      </c>
      <c r="V44" s="17">
        <v>187251633.56999999</v>
      </c>
      <c r="W44" s="17">
        <v>0</v>
      </c>
      <c r="X44" s="17">
        <v>0</v>
      </c>
      <c r="Y44" s="223">
        <f t="shared" si="6"/>
        <v>187252</v>
      </c>
      <c r="Z44" s="216"/>
      <c r="AD44" s="20" t="str">
        <f t="shared" si="0"/>
        <v>1211TERRENO LOTE 18 0980616001000000</v>
      </c>
      <c r="AE44" s="20" t="str">
        <f>+VLOOKUP(AD44,Catálogo!E:F,2,0)</f>
        <v xml:space="preserve">Inventarios inmobiliarios y costos pagados por anticipado </v>
      </c>
      <c r="AF44" s="20" t="str">
        <f>+VLOOKUP(AD44,Catálogo!E:G,3,0)</f>
        <v>Terrenos (i)</v>
      </c>
    </row>
    <row r="45" spans="1:32">
      <c r="A45" s="14">
        <v>121</v>
      </c>
      <c r="B45" s="14">
        <v>1</v>
      </c>
      <c r="C45" s="15">
        <v>2</v>
      </c>
      <c r="D45" s="174" t="s">
        <v>42</v>
      </c>
      <c r="E45" s="13">
        <v>88266192.930000007</v>
      </c>
      <c r="F45" s="13">
        <v>0</v>
      </c>
      <c r="G45" s="13">
        <v>0</v>
      </c>
      <c r="H45" s="13">
        <v>88266192.930000007</v>
      </c>
      <c r="I45" s="224"/>
      <c r="J45" s="194">
        <f t="shared" si="1"/>
        <v>88266</v>
      </c>
      <c r="K45" s="201" t="str">
        <f t="shared" si="2"/>
        <v>Inv</v>
      </c>
      <c r="L45" s="201" t="str">
        <f t="shared" si="3"/>
        <v>ok</v>
      </c>
      <c r="M45" s="202">
        <f t="shared" si="4"/>
        <v>88266</v>
      </c>
      <c r="N45" s="180"/>
      <c r="O45" s="202">
        <f t="shared" si="5"/>
        <v>88266</v>
      </c>
      <c r="P45" s="203"/>
      <c r="Q45" s="224"/>
      <c r="R45" s="14">
        <v>121</v>
      </c>
      <c r="S45" s="14">
        <v>1</v>
      </c>
      <c r="T45" s="15">
        <v>2</v>
      </c>
      <c r="U45" s="174" t="s">
        <v>42</v>
      </c>
      <c r="V45" s="17">
        <v>88266192.930000007</v>
      </c>
      <c r="W45" s="17">
        <v>0</v>
      </c>
      <c r="X45" s="17">
        <v>0</v>
      </c>
      <c r="Y45" s="223">
        <f t="shared" si="6"/>
        <v>88266</v>
      </c>
      <c r="Z45" s="216"/>
      <c r="AD45" s="20" t="str">
        <f t="shared" si="0"/>
        <v>1211TERRENO L-19 No, CAT. 0980616002000000</v>
      </c>
      <c r="AE45" s="20" t="str">
        <f>+VLOOKUP(AD45,Catálogo!E:F,2,0)</f>
        <v xml:space="preserve">Inventarios inmobiliarios y costos pagados por anticipado </v>
      </c>
      <c r="AF45" s="20" t="str">
        <f>+VLOOKUP(AD45,Catálogo!E:G,3,0)</f>
        <v>Terrenos (i)</v>
      </c>
    </row>
    <row r="46" spans="1:32">
      <c r="A46" s="14">
        <v>121</v>
      </c>
      <c r="B46" s="14">
        <v>1</v>
      </c>
      <c r="C46" s="15">
        <v>3</v>
      </c>
      <c r="D46" s="174" t="s">
        <v>43</v>
      </c>
      <c r="E46" s="13">
        <v>90068169.150000006</v>
      </c>
      <c r="F46" s="13">
        <v>0</v>
      </c>
      <c r="G46" s="13">
        <v>0</v>
      </c>
      <c r="H46" s="13">
        <v>90068169.150000006</v>
      </c>
      <c r="I46" s="224"/>
      <c r="J46" s="194">
        <f t="shared" si="1"/>
        <v>90068</v>
      </c>
      <c r="K46" s="201" t="str">
        <f t="shared" si="2"/>
        <v>Inv</v>
      </c>
      <c r="L46" s="201" t="str">
        <f t="shared" si="3"/>
        <v>ok</v>
      </c>
      <c r="M46" s="202">
        <f t="shared" si="4"/>
        <v>90068</v>
      </c>
      <c r="N46" s="180"/>
      <c r="O46" s="202">
        <f t="shared" si="5"/>
        <v>90068</v>
      </c>
      <c r="P46" s="203"/>
      <c r="Q46" s="224"/>
      <c r="R46" s="14">
        <v>121</v>
      </c>
      <c r="S46" s="14">
        <v>1</v>
      </c>
      <c r="T46" s="15">
        <v>3</v>
      </c>
      <c r="U46" s="174" t="s">
        <v>43</v>
      </c>
      <c r="V46" s="17">
        <v>90068169.150000006</v>
      </c>
      <c r="W46" s="17">
        <v>0</v>
      </c>
      <c r="X46" s="17">
        <v>0</v>
      </c>
      <c r="Y46" s="223">
        <f t="shared" si="6"/>
        <v>90068</v>
      </c>
      <c r="Z46" s="216"/>
      <c r="AD46" s="20" t="str">
        <f t="shared" si="0"/>
        <v>1211TERRENO L-20 CLAVE No. 0980616003000000</v>
      </c>
      <c r="AE46" s="20" t="str">
        <f>+VLOOKUP(AD46,Catálogo!E:F,2,0)</f>
        <v xml:space="preserve">Inventarios inmobiliarios y costos pagados por anticipado </v>
      </c>
      <c r="AF46" s="20" t="str">
        <f>+VLOOKUP(AD46,Catálogo!E:G,3,0)</f>
        <v>Terrenos (i)</v>
      </c>
    </row>
    <row r="47" spans="1:32">
      <c r="A47" s="14">
        <v>121</v>
      </c>
      <c r="B47" s="14">
        <v>1</v>
      </c>
      <c r="C47" s="15">
        <v>4</v>
      </c>
      <c r="D47" s="174" t="s">
        <v>44</v>
      </c>
      <c r="E47" s="13">
        <v>22414004.350000001</v>
      </c>
      <c r="F47" s="13">
        <v>0</v>
      </c>
      <c r="G47" s="13">
        <v>0</v>
      </c>
      <c r="H47" s="13">
        <v>22414004.350000001</v>
      </c>
      <c r="I47" s="224"/>
      <c r="J47" s="194">
        <f t="shared" si="1"/>
        <v>22414</v>
      </c>
      <c r="K47" s="201" t="str">
        <f t="shared" si="2"/>
        <v>Inv</v>
      </c>
      <c r="L47" s="201" t="str">
        <f t="shared" si="3"/>
        <v>ok</v>
      </c>
      <c r="M47" s="202">
        <f t="shared" si="4"/>
        <v>22414</v>
      </c>
      <c r="N47" s="180"/>
      <c r="O47" s="202">
        <f t="shared" si="5"/>
        <v>22414</v>
      </c>
      <c r="P47" s="203"/>
      <c r="Q47" s="224"/>
      <c r="R47" s="14">
        <v>121</v>
      </c>
      <c r="S47" s="14">
        <v>1</v>
      </c>
      <c r="T47" s="15">
        <v>4</v>
      </c>
      <c r="U47" s="174" t="s">
        <v>44</v>
      </c>
      <c r="V47" s="17">
        <v>22414004.350000001</v>
      </c>
      <c r="W47" s="17">
        <v>0</v>
      </c>
      <c r="X47" s="17">
        <v>0</v>
      </c>
      <c r="Y47" s="223">
        <f t="shared" si="6"/>
        <v>22414</v>
      </c>
      <c r="Z47" s="216"/>
      <c r="AD47" s="20" t="str">
        <f t="shared" si="0"/>
        <v>1211TERRENO MADIN CLAVE No: 1000676303000000</v>
      </c>
      <c r="AE47" s="20" t="str">
        <f>+VLOOKUP(AD47,Catálogo!E:F,2,0)</f>
        <v xml:space="preserve">Inventarios inmobiliarios y costos pagados por anticipado </v>
      </c>
      <c r="AF47" s="20" t="str">
        <f>+VLOOKUP(AD47,Catálogo!E:G,3,0)</f>
        <v>Terrenos (i)</v>
      </c>
    </row>
    <row r="48" spans="1:32">
      <c r="A48" s="6">
        <v>123</v>
      </c>
      <c r="B48" s="6">
        <v>0</v>
      </c>
      <c r="C48" s="7">
        <v>0</v>
      </c>
      <c r="D48" s="218" t="s">
        <v>45</v>
      </c>
      <c r="E48" s="22">
        <v>174172931.03</v>
      </c>
      <c r="F48" s="22">
        <v>159369294.09</v>
      </c>
      <c r="G48" s="22">
        <v>0</v>
      </c>
      <c r="H48" s="22">
        <v>333542225.12</v>
      </c>
      <c r="I48" s="223"/>
      <c r="J48" s="194">
        <f t="shared" si="1"/>
        <v>333542</v>
      </c>
      <c r="K48" s="201">
        <f t="shared" si="2"/>
        <v>0</v>
      </c>
      <c r="L48" s="201">
        <f t="shared" si="3"/>
        <v>0</v>
      </c>
      <c r="M48" s="202">
        <f t="shared" si="4"/>
        <v>0</v>
      </c>
      <c r="N48" s="180"/>
      <c r="O48" s="202">
        <f t="shared" si="5"/>
        <v>0</v>
      </c>
      <c r="P48" s="203"/>
      <c r="Q48" s="223"/>
      <c r="R48" s="6">
        <v>123</v>
      </c>
      <c r="S48" s="6">
        <v>0</v>
      </c>
      <c r="T48" s="7">
        <v>0</v>
      </c>
      <c r="U48" s="218" t="s">
        <v>45</v>
      </c>
      <c r="V48" s="22">
        <v>174172931.03</v>
      </c>
      <c r="W48" s="22">
        <v>159369294.09</v>
      </c>
      <c r="X48" s="22">
        <v>0</v>
      </c>
      <c r="Y48" s="223">
        <f t="shared" si="6"/>
        <v>0</v>
      </c>
      <c r="Z48" s="216"/>
      <c r="AD48" s="20" t="str">
        <f t="shared" si="0"/>
        <v>1230CONSTRUCCIONES EN PROCESO</v>
      </c>
      <c r="AE48" s="20" t="e">
        <f>+VLOOKUP(AD48,Catálogo!E:F,2,0)</f>
        <v>#N/A</v>
      </c>
      <c r="AF48" s="20">
        <f>+VLOOKUP(AD48,Catálogo!E:G,3,0)</f>
        <v>0</v>
      </c>
    </row>
    <row r="49" spans="1:32">
      <c r="A49" s="10">
        <v>123</v>
      </c>
      <c r="B49" s="10">
        <v>4</v>
      </c>
      <c r="C49" s="11">
        <v>0</v>
      </c>
      <c r="D49" s="219" t="s">
        <v>46</v>
      </c>
      <c r="E49" s="24">
        <v>200097.89</v>
      </c>
      <c r="F49" s="24">
        <v>13732236.199999999</v>
      </c>
      <c r="G49" s="24">
        <v>0</v>
      </c>
      <c r="H49" s="24">
        <v>13932334.09</v>
      </c>
      <c r="I49" s="224"/>
      <c r="J49" s="194">
        <f t="shared" si="1"/>
        <v>13932</v>
      </c>
      <c r="K49" s="201">
        <f t="shared" si="2"/>
        <v>0</v>
      </c>
      <c r="L49" s="201">
        <f t="shared" si="3"/>
        <v>0</v>
      </c>
      <c r="M49" s="202">
        <f t="shared" si="4"/>
        <v>0</v>
      </c>
      <c r="N49" s="180"/>
      <c r="O49" s="202">
        <f t="shared" si="5"/>
        <v>0</v>
      </c>
      <c r="P49" s="203"/>
      <c r="Q49" s="224"/>
      <c r="R49" s="10">
        <v>123</v>
      </c>
      <c r="S49" s="10">
        <v>4</v>
      </c>
      <c r="T49" s="11">
        <v>0</v>
      </c>
      <c r="U49" s="219" t="s">
        <v>46</v>
      </c>
      <c r="V49" s="23">
        <v>200097.89</v>
      </c>
      <c r="W49" s="23">
        <v>13732236.199999999</v>
      </c>
      <c r="X49" s="23">
        <v>0</v>
      </c>
      <c r="Y49" s="223">
        <f t="shared" si="6"/>
        <v>0</v>
      </c>
      <c r="Z49" s="216"/>
      <c r="AD49" s="20" t="str">
        <f t="shared" si="0"/>
        <v>1234SUBCONTRATO (HARD-COST)</v>
      </c>
      <c r="AE49" s="20" t="e">
        <f>+VLOOKUP(AD49,Catálogo!E:F,2,0)</f>
        <v>#N/A</v>
      </c>
      <c r="AF49" s="20">
        <f>+VLOOKUP(AD49,Catálogo!E:G,3,0)</f>
        <v>0</v>
      </c>
    </row>
    <row r="50" spans="1:32">
      <c r="A50" s="14">
        <v>123</v>
      </c>
      <c r="B50" s="14">
        <v>4</v>
      </c>
      <c r="C50" s="15">
        <v>1</v>
      </c>
      <c r="D50" s="174" t="s">
        <v>47</v>
      </c>
      <c r="E50" s="13">
        <v>99500</v>
      </c>
      <c r="F50" s="13">
        <v>0</v>
      </c>
      <c r="G50" s="13">
        <v>0</v>
      </c>
      <c r="H50" s="13">
        <v>99500</v>
      </c>
      <c r="I50" s="224"/>
      <c r="J50" s="194">
        <f t="shared" si="1"/>
        <v>100</v>
      </c>
      <c r="K50" s="201" t="str">
        <f t="shared" si="2"/>
        <v>Inv</v>
      </c>
      <c r="L50" s="201" t="str">
        <f t="shared" si="3"/>
        <v>ok</v>
      </c>
      <c r="M50" s="202">
        <f t="shared" si="4"/>
        <v>100</v>
      </c>
      <c r="N50" s="180"/>
      <c r="O50" s="202">
        <f t="shared" si="5"/>
        <v>100</v>
      </c>
      <c r="P50" s="203"/>
      <c r="Q50" s="224"/>
      <c r="R50" s="14">
        <v>123</v>
      </c>
      <c r="S50" s="14">
        <v>4</v>
      </c>
      <c r="T50" s="15">
        <v>1</v>
      </c>
      <c r="U50" s="174" t="s">
        <v>47</v>
      </c>
      <c r="V50" s="17">
        <v>99500</v>
      </c>
      <c r="W50" s="17">
        <v>0</v>
      </c>
      <c r="X50" s="17">
        <v>0</v>
      </c>
      <c r="Y50" s="223">
        <f t="shared" si="6"/>
        <v>100</v>
      </c>
      <c r="Z50" s="216"/>
      <c r="AD50" s="20" t="str">
        <f t="shared" si="0"/>
        <v>1234PRELIMINARES EDIFICACIÓN</v>
      </c>
      <c r="AE50" s="20" t="str">
        <f>+VLOOKUP(AD50,Catálogo!E:F,2,0)</f>
        <v xml:space="preserve">Inventarios inmobiliarios y costos pagados por anticipado </v>
      </c>
      <c r="AF50" s="20" t="str">
        <f>+VLOOKUP(AD50,Catálogo!E:G,3,0)</f>
        <v>Construcción en proceso (ii)</v>
      </c>
    </row>
    <row r="51" spans="1:32">
      <c r="A51" s="14">
        <v>123</v>
      </c>
      <c r="B51" s="14">
        <v>4</v>
      </c>
      <c r="C51" s="15">
        <v>25</v>
      </c>
      <c r="D51" s="174" t="s">
        <v>48</v>
      </c>
      <c r="E51" s="13">
        <v>100597.89</v>
      </c>
      <c r="F51" s="13">
        <v>0</v>
      </c>
      <c r="G51" s="13">
        <v>0</v>
      </c>
      <c r="H51" s="13">
        <v>100597.89</v>
      </c>
      <c r="I51" s="224"/>
      <c r="J51" s="194">
        <f t="shared" si="1"/>
        <v>101</v>
      </c>
      <c r="K51" s="201" t="str">
        <f t="shared" si="2"/>
        <v>Inv</v>
      </c>
      <c r="L51" s="201" t="str">
        <f t="shared" si="3"/>
        <v>ok</v>
      </c>
      <c r="M51" s="202">
        <f t="shared" si="4"/>
        <v>101</v>
      </c>
      <c r="N51" s="180"/>
      <c r="O51" s="202">
        <f t="shared" si="5"/>
        <v>101</v>
      </c>
      <c r="P51" s="203"/>
      <c r="Q51" s="224"/>
      <c r="R51" s="14">
        <v>123</v>
      </c>
      <c r="S51" s="14">
        <v>4</v>
      </c>
      <c r="T51" s="15">
        <v>25</v>
      </c>
      <c r="U51" s="174" t="s">
        <v>48</v>
      </c>
      <c r="V51" s="17">
        <v>100597.89</v>
      </c>
      <c r="W51" s="17">
        <v>0</v>
      </c>
      <c r="X51" s="17">
        <v>0</v>
      </c>
      <c r="Y51" s="223">
        <f t="shared" si="6"/>
        <v>101</v>
      </c>
      <c r="Z51" s="216"/>
      <c r="AD51" s="20" t="str">
        <f t="shared" si="0"/>
        <v>1234PAVIMENTACIÓN</v>
      </c>
      <c r="AE51" s="20" t="str">
        <f>+VLOOKUP(AD51,Catálogo!E:F,2,0)</f>
        <v xml:space="preserve">Inventarios inmobiliarios y costos pagados por anticipado </v>
      </c>
      <c r="AF51" s="20" t="str">
        <f>+VLOOKUP(AD51,Catálogo!E:G,3,0)</f>
        <v>Construcción en proceso (ii)</v>
      </c>
    </row>
    <row r="52" spans="1:32">
      <c r="A52" s="14">
        <v>123</v>
      </c>
      <c r="B52" s="14">
        <v>4</v>
      </c>
      <c r="C52" s="15">
        <v>26</v>
      </c>
      <c r="D52" s="174" t="s">
        <v>49</v>
      </c>
      <c r="E52" s="13">
        <v>0</v>
      </c>
      <c r="F52" s="13">
        <v>13732236.199999999</v>
      </c>
      <c r="G52" s="13">
        <v>0</v>
      </c>
      <c r="H52" s="13">
        <v>13732236.199999999</v>
      </c>
      <c r="I52" s="224"/>
      <c r="J52" s="194">
        <f t="shared" si="1"/>
        <v>13732</v>
      </c>
      <c r="K52" s="201" t="str">
        <f t="shared" si="2"/>
        <v>Inv</v>
      </c>
      <c r="L52" s="201" t="str">
        <f t="shared" si="3"/>
        <v>ok</v>
      </c>
      <c r="M52" s="202">
        <f t="shared" si="4"/>
        <v>13732</v>
      </c>
      <c r="N52" s="180"/>
      <c r="O52" s="202">
        <f t="shared" si="5"/>
        <v>13732</v>
      </c>
      <c r="P52" s="203"/>
      <c r="Q52" s="224"/>
      <c r="R52" s="14">
        <v>123</v>
      </c>
      <c r="S52" s="14">
        <v>4</v>
      </c>
      <c r="T52" s="15">
        <v>26</v>
      </c>
      <c r="U52" s="174" t="s">
        <v>49</v>
      </c>
      <c r="V52" s="17">
        <v>0</v>
      </c>
      <c r="W52" s="17">
        <v>13732236.199999999</v>
      </c>
      <c r="X52" s="17">
        <v>0</v>
      </c>
      <c r="Y52" s="223">
        <f t="shared" si="6"/>
        <v>13732</v>
      </c>
      <c r="Z52" s="216"/>
      <c r="AD52" s="20" t="str">
        <f t="shared" si="0"/>
        <v>1234INSTALACIÓN ELÉCTRICA</v>
      </c>
      <c r="AE52" s="20" t="str">
        <f>+VLOOKUP(AD52,Catálogo!E:F,2,0)</f>
        <v xml:space="preserve">Inventarios inmobiliarios y costos pagados por anticipado </v>
      </c>
      <c r="AF52" s="20" t="str">
        <f>+VLOOKUP(AD52,Catálogo!E:G,3,0)</f>
        <v>Construcción en proceso (ii)</v>
      </c>
    </row>
    <row r="53" spans="1:32">
      <c r="A53" s="10">
        <v>123</v>
      </c>
      <c r="B53" s="10">
        <v>6</v>
      </c>
      <c r="C53" s="11">
        <v>0</v>
      </c>
      <c r="D53" s="219" t="s">
        <v>50</v>
      </c>
      <c r="E53" s="24">
        <v>5852895.5300000003</v>
      </c>
      <c r="F53" s="24">
        <v>0</v>
      </c>
      <c r="G53" s="24">
        <v>0</v>
      </c>
      <c r="H53" s="24">
        <v>5852895.5300000003</v>
      </c>
      <c r="I53" s="224"/>
      <c r="J53" s="194">
        <f t="shared" si="1"/>
        <v>5853</v>
      </c>
      <c r="K53" s="201">
        <f t="shared" si="2"/>
        <v>0</v>
      </c>
      <c r="L53" s="201">
        <f t="shared" si="3"/>
        <v>0</v>
      </c>
      <c r="M53" s="202">
        <f t="shared" si="4"/>
        <v>0</v>
      </c>
      <c r="N53" s="180"/>
      <c r="O53" s="202">
        <f t="shared" si="5"/>
        <v>0</v>
      </c>
      <c r="P53" s="203"/>
      <c r="Q53" s="224"/>
      <c r="R53" s="10">
        <v>123</v>
      </c>
      <c r="S53" s="10">
        <v>6</v>
      </c>
      <c r="T53" s="11">
        <v>0</v>
      </c>
      <c r="U53" s="219" t="s">
        <v>50</v>
      </c>
      <c r="V53" s="23">
        <v>5852895.5300000003</v>
      </c>
      <c r="W53" s="23">
        <v>0</v>
      </c>
      <c r="X53" s="23">
        <v>0</v>
      </c>
      <c r="Y53" s="223">
        <f t="shared" si="6"/>
        <v>0</v>
      </c>
      <c r="Z53" s="216"/>
      <c r="AD53" s="20" t="str">
        <f t="shared" si="0"/>
        <v>1236ADMINISTRATIVOS</v>
      </c>
      <c r="AE53" s="20" t="e">
        <f>+VLOOKUP(AD53,Catálogo!E:F,2,0)</f>
        <v>#N/A</v>
      </c>
      <c r="AF53" s="20">
        <f>+VLOOKUP(AD53,Catálogo!E:G,3,0)</f>
        <v>0</v>
      </c>
    </row>
    <row r="54" spans="1:32">
      <c r="A54" s="14">
        <v>123</v>
      </c>
      <c r="B54" s="14">
        <v>6</v>
      </c>
      <c r="C54" s="15">
        <v>2</v>
      </c>
      <c r="D54" s="174" t="s">
        <v>51</v>
      </c>
      <c r="E54" s="13">
        <v>3449227.75</v>
      </c>
      <c r="F54" s="13">
        <v>0</v>
      </c>
      <c r="G54" s="13">
        <v>0</v>
      </c>
      <c r="H54" s="13">
        <v>3449227.75</v>
      </c>
      <c r="I54" s="224"/>
      <c r="J54" s="194">
        <f t="shared" si="1"/>
        <v>3449</v>
      </c>
      <c r="K54" s="201" t="str">
        <f t="shared" si="2"/>
        <v>Inv</v>
      </c>
      <c r="L54" s="201" t="str">
        <f t="shared" si="3"/>
        <v>ok</v>
      </c>
      <c r="M54" s="202">
        <f t="shared" si="4"/>
        <v>3449</v>
      </c>
      <c r="N54" s="180"/>
      <c r="O54" s="202">
        <f t="shared" si="5"/>
        <v>3449</v>
      </c>
      <c r="P54" s="203"/>
      <c r="Q54" s="224"/>
      <c r="R54" s="14">
        <v>123</v>
      </c>
      <c r="S54" s="14">
        <v>6</v>
      </c>
      <c r="T54" s="15">
        <v>2</v>
      </c>
      <c r="U54" s="174" t="s">
        <v>51</v>
      </c>
      <c r="V54" s="17">
        <v>3449227.75</v>
      </c>
      <c r="W54" s="17">
        <v>0</v>
      </c>
      <c r="X54" s="17">
        <v>0</v>
      </c>
      <c r="Y54" s="223">
        <f t="shared" si="6"/>
        <v>3449</v>
      </c>
      <c r="Z54" s="216"/>
      <c r="AD54" s="20" t="str">
        <f t="shared" si="0"/>
        <v>1236HONORARIOS PERSONAS MORALES</v>
      </c>
      <c r="AE54" s="20" t="str">
        <f>+VLOOKUP(AD54,Catálogo!E:F,2,0)</f>
        <v xml:space="preserve">Inventarios inmobiliarios y costos pagados por anticipado </v>
      </c>
      <c r="AF54" s="20" t="str">
        <f>+VLOOKUP(AD54,Catálogo!E:G,3,0)</f>
        <v>Gastos administrativos y de comercialización (iv)</v>
      </c>
    </row>
    <row r="55" spans="1:32">
      <c r="A55" s="14">
        <v>123</v>
      </c>
      <c r="B55" s="14">
        <v>6</v>
      </c>
      <c r="C55" s="15">
        <v>6</v>
      </c>
      <c r="D55" s="174" t="s">
        <v>52</v>
      </c>
      <c r="E55" s="13">
        <v>64999.99</v>
      </c>
      <c r="F55" s="13">
        <v>0</v>
      </c>
      <c r="G55" s="13">
        <v>0</v>
      </c>
      <c r="H55" s="13">
        <v>64999.99</v>
      </c>
      <c r="I55" s="224"/>
      <c r="J55" s="194">
        <f t="shared" si="1"/>
        <v>65</v>
      </c>
      <c r="K55" s="201" t="str">
        <f t="shared" si="2"/>
        <v>Inv</v>
      </c>
      <c r="L55" s="201" t="str">
        <f t="shared" si="3"/>
        <v>ok</v>
      </c>
      <c r="M55" s="202">
        <f t="shared" si="4"/>
        <v>65</v>
      </c>
      <c r="N55" s="180"/>
      <c r="O55" s="202">
        <f t="shared" si="5"/>
        <v>65</v>
      </c>
      <c r="P55" s="203"/>
      <c r="Q55" s="224"/>
      <c r="R55" s="14">
        <v>123</v>
      </c>
      <c r="S55" s="14">
        <v>6</v>
      </c>
      <c r="T55" s="15">
        <v>6</v>
      </c>
      <c r="U55" s="174" t="s">
        <v>52</v>
      </c>
      <c r="V55" s="17">
        <v>64999.99</v>
      </c>
      <c r="W55" s="17">
        <v>0</v>
      </c>
      <c r="X55" s="17">
        <v>0</v>
      </c>
      <c r="Y55" s="223">
        <f t="shared" si="6"/>
        <v>65</v>
      </c>
      <c r="Z55" s="216"/>
      <c r="AD55" s="20" t="str">
        <f t="shared" si="0"/>
        <v>1236HONORARIOS PERSONAS FISICAS</v>
      </c>
      <c r="AE55" s="20" t="str">
        <f>+VLOOKUP(AD55,Catálogo!E:F,2,0)</f>
        <v xml:space="preserve">Inventarios inmobiliarios y costos pagados por anticipado </v>
      </c>
      <c r="AF55" s="20" t="str">
        <f>+VLOOKUP(AD55,Catálogo!E:G,3,0)</f>
        <v>Gastos administrativos y de comercialización (iv)</v>
      </c>
    </row>
    <row r="56" spans="1:32">
      <c r="A56" s="14">
        <v>123</v>
      </c>
      <c r="B56" s="14">
        <v>6</v>
      </c>
      <c r="C56" s="15">
        <v>14</v>
      </c>
      <c r="D56" s="174" t="s">
        <v>53</v>
      </c>
      <c r="E56" s="13">
        <v>2338667.79</v>
      </c>
      <c r="F56" s="13">
        <v>0</v>
      </c>
      <c r="G56" s="13">
        <v>0</v>
      </c>
      <c r="H56" s="13">
        <v>2338667.79</v>
      </c>
      <c r="I56" s="224"/>
      <c r="J56" s="194">
        <f t="shared" si="1"/>
        <v>2339</v>
      </c>
      <c r="K56" s="201" t="str">
        <f t="shared" si="2"/>
        <v>Inv</v>
      </c>
      <c r="L56" s="201" t="str">
        <f t="shared" si="3"/>
        <v>ok</v>
      </c>
      <c r="M56" s="202">
        <f t="shared" si="4"/>
        <v>2339</v>
      </c>
      <c r="N56" s="180"/>
      <c r="O56" s="202">
        <f t="shared" si="5"/>
        <v>2339</v>
      </c>
      <c r="P56" s="203"/>
      <c r="Q56" s="224"/>
      <c r="R56" s="14">
        <v>123</v>
      </c>
      <c r="S56" s="14">
        <v>6</v>
      </c>
      <c r="T56" s="15">
        <v>14</v>
      </c>
      <c r="U56" s="174" t="s">
        <v>53</v>
      </c>
      <c r="V56" s="17">
        <v>2338667.79</v>
      </c>
      <c r="W56" s="17">
        <v>0</v>
      </c>
      <c r="X56" s="17">
        <v>0</v>
      </c>
      <c r="Y56" s="223">
        <f t="shared" si="6"/>
        <v>2339</v>
      </c>
      <c r="Z56" s="216"/>
      <c r="AD56" s="20" t="str">
        <f t="shared" si="0"/>
        <v>1236PREDIAL Y AGUA</v>
      </c>
      <c r="AE56" s="20" t="str">
        <f>+VLOOKUP(AD56,Catálogo!E:F,2,0)</f>
        <v xml:space="preserve">Inventarios inmobiliarios y costos pagados por anticipado </v>
      </c>
      <c r="AF56" s="20" t="str">
        <f>+VLOOKUP(AD56,Catálogo!E:G,3,0)</f>
        <v>Gastos administrativos y de comercialización (iv)</v>
      </c>
    </row>
    <row r="57" spans="1:32">
      <c r="A57" s="10">
        <v>123</v>
      </c>
      <c r="B57" s="10">
        <v>7</v>
      </c>
      <c r="C57" s="11">
        <v>0</v>
      </c>
      <c r="D57" s="219" t="s">
        <v>54</v>
      </c>
      <c r="E57" s="24">
        <v>147939231.53</v>
      </c>
      <c r="F57" s="24">
        <v>145637057.88999999</v>
      </c>
      <c r="G57" s="24">
        <v>0</v>
      </c>
      <c r="H57" s="24">
        <v>293576289.42000002</v>
      </c>
      <c r="I57" s="224"/>
      <c r="J57" s="194">
        <f t="shared" si="1"/>
        <v>293576</v>
      </c>
      <c r="K57" s="201">
        <f t="shared" si="2"/>
        <v>0</v>
      </c>
      <c r="L57" s="201">
        <f t="shared" si="3"/>
        <v>0</v>
      </c>
      <c r="M57" s="202">
        <f t="shared" si="4"/>
        <v>0</v>
      </c>
      <c r="N57" s="180"/>
      <c r="O57" s="202">
        <f t="shared" si="5"/>
        <v>0</v>
      </c>
      <c r="P57" s="203"/>
      <c r="Q57" s="224"/>
      <c r="R57" s="10">
        <v>123</v>
      </c>
      <c r="S57" s="10">
        <v>7</v>
      </c>
      <c r="T57" s="11">
        <v>0</v>
      </c>
      <c r="U57" s="219" t="s">
        <v>54</v>
      </c>
      <c r="V57" s="23">
        <v>147939231.53</v>
      </c>
      <c r="W57" s="23">
        <v>145637057.88999999</v>
      </c>
      <c r="X57" s="23">
        <v>0</v>
      </c>
      <c r="Y57" s="223">
        <f t="shared" si="6"/>
        <v>0</v>
      </c>
      <c r="Z57" s="216"/>
      <c r="AD57" s="20" t="str">
        <f t="shared" si="0"/>
        <v>1237PRE Y POST OPERATIVOS (SOFT-COST)</v>
      </c>
      <c r="AE57" s="20" t="e">
        <f>+VLOOKUP(AD57,Catálogo!E:F,2,0)</f>
        <v>#N/A</v>
      </c>
      <c r="AF57" s="20">
        <f>+VLOOKUP(AD57,Catálogo!E:G,3,0)</f>
        <v>0</v>
      </c>
    </row>
    <row r="58" spans="1:32">
      <c r="A58" s="14">
        <v>123</v>
      </c>
      <c r="B58" s="14">
        <v>7</v>
      </c>
      <c r="C58" s="15">
        <v>1</v>
      </c>
      <c r="D58" s="174" t="s">
        <v>55</v>
      </c>
      <c r="E58" s="13">
        <v>445000</v>
      </c>
      <c r="F58" s="13">
        <v>0</v>
      </c>
      <c r="G58" s="13">
        <v>0</v>
      </c>
      <c r="H58" s="13">
        <v>445000</v>
      </c>
      <c r="I58" s="224"/>
      <c r="J58" s="194">
        <f t="shared" si="1"/>
        <v>445</v>
      </c>
      <c r="K58" s="201" t="str">
        <f t="shared" si="2"/>
        <v>Inv</v>
      </c>
      <c r="L58" s="201" t="str">
        <f t="shared" si="3"/>
        <v>ok</v>
      </c>
      <c r="M58" s="202">
        <f t="shared" si="4"/>
        <v>445</v>
      </c>
      <c r="N58" s="180"/>
      <c r="O58" s="202">
        <f t="shared" si="5"/>
        <v>445</v>
      </c>
      <c r="P58" s="203"/>
      <c r="Q58" s="224"/>
      <c r="R58" s="14">
        <v>123</v>
      </c>
      <c r="S58" s="14">
        <v>7</v>
      </c>
      <c r="T58" s="15">
        <v>1</v>
      </c>
      <c r="U58" s="174" t="s">
        <v>55</v>
      </c>
      <c r="V58" s="17">
        <v>445000</v>
      </c>
      <c r="W58" s="17">
        <v>0</v>
      </c>
      <c r="X58" s="17">
        <v>0</v>
      </c>
      <c r="Y58" s="223">
        <f t="shared" si="6"/>
        <v>445</v>
      </c>
      <c r="Z58" s="216"/>
      <c r="AD58" s="20" t="str">
        <f t="shared" si="0"/>
        <v>1237TERRENO</v>
      </c>
      <c r="AE58" s="20" t="str">
        <f>+VLOOKUP(AD58,Catálogo!E:F,2,0)</f>
        <v xml:space="preserve">Inventarios inmobiliarios y costos pagados por anticipado </v>
      </c>
      <c r="AF58" s="20" t="str">
        <f>+VLOOKUP(AD58,Catálogo!E:G,3,0)</f>
        <v>Gastos legales, financieros y por trámites (iii)</v>
      </c>
    </row>
    <row r="59" spans="1:32">
      <c r="A59" s="14">
        <v>123</v>
      </c>
      <c r="B59" s="14">
        <v>7</v>
      </c>
      <c r="C59" s="15">
        <v>2</v>
      </c>
      <c r="D59" s="174" t="s">
        <v>56</v>
      </c>
      <c r="E59" s="13">
        <v>20121804.780000001</v>
      </c>
      <c r="F59" s="13">
        <v>2192415.09</v>
      </c>
      <c r="G59" s="13">
        <v>0</v>
      </c>
      <c r="H59" s="13">
        <v>22314219.870000001</v>
      </c>
      <c r="I59" s="224"/>
      <c r="J59" s="194">
        <f t="shared" si="1"/>
        <v>22314</v>
      </c>
      <c r="K59" s="201" t="str">
        <f t="shared" si="2"/>
        <v>Inv</v>
      </c>
      <c r="L59" s="201" t="str">
        <f t="shared" si="3"/>
        <v>ok</v>
      </c>
      <c r="M59" s="202">
        <f t="shared" si="4"/>
        <v>22314</v>
      </c>
      <c r="N59" s="180"/>
      <c r="O59" s="202">
        <f t="shared" si="5"/>
        <v>22314</v>
      </c>
      <c r="P59" s="203"/>
      <c r="Q59" s="224"/>
      <c r="R59" s="14">
        <v>123</v>
      </c>
      <c r="S59" s="14">
        <v>7</v>
      </c>
      <c r="T59" s="15">
        <v>2</v>
      </c>
      <c r="U59" s="174" t="s">
        <v>56</v>
      </c>
      <c r="V59" s="17">
        <v>20121804.780000001</v>
      </c>
      <c r="W59" s="17">
        <v>2192415.09</v>
      </c>
      <c r="X59" s="17">
        <v>0</v>
      </c>
      <c r="Y59" s="223">
        <f t="shared" si="6"/>
        <v>22314</v>
      </c>
      <c r="Z59" s="216"/>
      <c r="AD59" s="20" t="str">
        <f t="shared" si="0"/>
        <v>1237COMPRA DE TERRENO</v>
      </c>
      <c r="AE59" s="20" t="str">
        <f>+VLOOKUP(AD59,Catálogo!E:F,2,0)</f>
        <v xml:space="preserve">Inventarios inmobiliarios y costos pagados por anticipado </v>
      </c>
      <c r="AF59" s="20" t="str">
        <f>+VLOOKUP(AD59,Catálogo!E:G,3,0)</f>
        <v>Gastos legales, financieros y por trámites (iii)</v>
      </c>
    </row>
    <row r="60" spans="1:32">
      <c r="A60" s="14">
        <v>123</v>
      </c>
      <c r="B60" s="14">
        <v>7</v>
      </c>
      <c r="C60" s="15">
        <v>3</v>
      </c>
      <c r="D60" s="174" t="s">
        <v>57</v>
      </c>
      <c r="E60" s="13">
        <v>2551214.23</v>
      </c>
      <c r="F60" s="13">
        <v>94180</v>
      </c>
      <c r="G60" s="13">
        <v>0</v>
      </c>
      <c r="H60" s="13">
        <v>2645394.23</v>
      </c>
      <c r="I60" s="224"/>
      <c r="J60" s="194">
        <f t="shared" si="1"/>
        <v>2645</v>
      </c>
      <c r="K60" s="201" t="str">
        <f t="shared" si="2"/>
        <v>Inv</v>
      </c>
      <c r="L60" s="201" t="str">
        <f t="shared" si="3"/>
        <v>ok</v>
      </c>
      <c r="M60" s="202">
        <f t="shared" si="4"/>
        <v>2645</v>
      </c>
      <c r="N60" s="180"/>
      <c r="O60" s="202">
        <f t="shared" si="5"/>
        <v>2645</v>
      </c>
      <c r="P60" s="203"/>
      <c r="Q60" s="224"/>
      <c r="R60" s="14">
        <v>123</v>
      </c>
      <c r="S60" s="14">
        <v>7</v>
      </c>
      <c r="T60" s="15">
        <v>3</v>
      </c>
      <c r="U60" s="174" t="s">
        <v>57</v>
      </c>
      <c r="V60" s="17">
        <v>2551214.23</v>
      </c>
      <c r="W60" s="17">
        <v>94180</v>
      </c>
      <c r="X60" s="17">
        <v>0</v>
      </c>
      <c r="Y60" s="223">
        <f t="shared" si="6"/>
        <v>2645</v>
      </c>
      <c r="Z60" s="216"/>
      <c r="AD60" s="20" t="str">
        <f t="shared" si="0"/>
        <v>1237ESTUDIOS</v>
      </c>
      <c r="AE60" s="20" t="str">
        <f>+VLOOKUP(AD60,Catálogo!E:F,2,0)</f>
        <v xml:space="preserve">Inventarios inmobiliarios y costos pagados por anticipado </v>
      </c>
      <c r="AF60" s="20" t="str">
        <f>+VLOOKUP(AD60,Catálogo!E:G,3,0)</f>
        <v>Gastos legales, financieros y por trámites (iii)</v>
      </c>
    </row>
    <row r="61" spans="1:32">
      <c r="A61" s="14">
        <v>123</v>
      </c>
      <c r="B61" s="14">
        <v>7</v>
      </c>
      <c r="C61" s="15">
        <v>4</v>
      </c>
      <c r="D61" s="174" t="s">
        <v>58</v>
      </c>
      <c r="E61" s="13">
        <v>9485084.5600000005</v>
      </c>
      <c r="F61" s="13">
        <v>48777682.939999998</v>
      </c>
      <c r="G61" s="13">
        <v>0</v>
      </c>
      <c r="H61" s="13">
        <v>58262767.5</v>
      </c>
      <c r="I61" s="224"/>
      <c r="J61" s="194">
        <f t="shared" si="1"/>
        <v>58263</v>
      </c>
      <c r="K61" s="201" t="str">
        <f t="shared" si="2"/>
        <v>Inv</v>
      </c>
      <c r="L61" s="201" t="str">
        <f t="shared" si="3"/>
        <v>ok</v>
      </c>
      <c r="M61" s="202">
        <f t="shared" si="4"/>
        <v>58263</v>
      </c>
      <c r="N61" s="180"/>
      <c r="O61" s="202">
        <f t="shared" si="5"/>
        <v>58263</v>
      </c>
      <c r="P61" s="203"/>
      <c r="Q61" s="224"/>
      <c r="R61" s="14">
        <v>123</v>
      </c>
      <c r="S61" s="14">
        <v>7</v>
      </c>
      <c r="T61" s="15">
        <v>4</v>
      </c>
      <c r="U61" s="174" t="s">
        <v>58</v>
      </c>
      <c r="V61" s="17">
        <v>9485084.5600000005</v>
      </c>
      <c r="W61" s="17">
        <v>48777682.939999998</v>
      </c>
      <c r="X61" s="17">
        <v>0</v>
      </c>
      <c r="Y61" s="223">
        <f t="shared" si="6"/>
        <v>58263</v>
      </c>
      <c r="Z61" s="216"/>
      <c r="AD61" s="20" t="str">
        <f t="shared" si="0"/>
        <v>1237TRAMITES MUNICIPALES</v>
      </c>
      <c r="AE61" s="20" t="str">
        <f>+VLOOKUP(AD61,Catálogo!E:F,2,0)</f>
        <v xml:space="preserve">Inventarios inmobiliarios y costos pagados por anticipado </v>
      </c>
      <c r="AF61" s="20" t="str">
        <f>+VLOOKUP(AD61,Catálogo!E:G,3,0)</f>
        <v>Gastos legales, financieros y por trámites (iii)</v>
      </c>
    </row>
    <row r="62" spans="1:32">
      <c r="A62" s="14">
        <v>123</v>
      </c>
      <c r="B62" s="14">
        <v>7</v>
      </c>
      <c r="C62" s="15">
        <v>5</v>
      </c>
      <c r="D62" s="174" t="s">
        <v>59</v>
      </c>
      <c r="E62" s="13">
        <v>58626343.329999998</v>
      </c>
      <c r="F62" s="13">
        <v>37225552.990000002</v>
      </c>
      <c r="G62" s="13">
        <v>0</v>
      </c>
      <c r="H62" s="13">
        <v>95851896.319999993</v>
      </c>
      <c r="I62" s="224"/>
      <c r="J62" s="194">
        <f t="shared" si="1"/>
        <v>95852</v>
      </c>
      <c r="K62" s="201" t="str">
        <f t="shared" si="2"/>
        <v>Inv</v>
      </c>
      <c r="L62" s="201" t="str">
        <f t="shared" si="3"/>
        <v>ok</v>
      </c>
      <c r="M62" s="202">
        <f t="shared" si="4"/>
        <v>95852</v>
      </c>
      <c r="N62" s="180"/>
      <c r="O62" s="202">
        <f t="shared" si="5"/>
        <v>95852</v>
      </c>
      <c r="P62" s="203"/>
      <c r="Q62" s="224"/>
      <c r="R62" s="14">
        <v>123</v>
      </c>
      <c r="S62" s="14">
        <v>7</v>
      </c>
      <c r="T62" s="15">
        <v>5</v>
      </c>
      <c r="U62" s="174" t="s">
        <v>59</v>
      </c>
      <c r="V62" s="17">
        <v>58626343.329999998</v>
      </c>
      <c r="W62" s="17">
        <v>37225552.990000002</v>
      </c>
      <c r="X62" s="17">
        <v>0</v>
      </c>
      <c r="Y62" s="223">
        <f t="shared" si="6"/>
        <v>95852</v>
      </c>
      <c r="Z62" s="216"/>
      <c r="AD62" s="20" t="str">
        <f t="shared" si="0"/>
        <v>1237TRAMITES ESTATALES</v>
      </c>
      <c r="AE62" s="20" t="str">
        <f>+VLOOKUP(AD62,Catálogo!E:F,2,0)</f>
        <v xml:space="preserve">Inventarios inmobiliarios y costos pagados por anticipado </v>
      </c>
      <c r="AF62" s="20" t="str">
        <f>+VLOOKUP(AD62,Catálogo!E:G,3,0)</f>
        <v>Gastos legales, financieros y por trámites (iii)</v>
      </c>
    </row>
    <row r="63" spans="1:32">
      <c r="A63" s="14">
        <v>123</v>
      </c>
      <c r="B63" s="14">
        <v>7</v>
      </c>
      <c r="C63" s="15">
        <v>6</v>
      </c>
      <c r="D63" s="174" t="s">
        <v>60</v>
      </c>
      <c r="E63" s="13">
        <v>705645.84</v>
      </c>
      <c r="F63" s="13">
        <v>18303841.120000001</v>
      </c>
      <c r="G63" s="13">
        <v>0</v>
      </c>
      <c r="H63" s="13">
        <v>19009486.960000001</v>
      </c>
      <c r="I63" s="224"/>
      <c r="J63" s="194">
        <f t="shared" si="1"/>
        <v>19009</v>
      </c>
      <c r="K63" s="201" t="str">
        <f t="shared" si="2"/>
        <v>Inv</v>
      </c>
      <c r="L63" s="201" t="str">
        <f t="shared" si="3"/>
        <v>ok</v>
      </c>
      <c r="M63" s="202">
        <f t="shared" si="4"/>
        <v>19009</v>
      </c>
      <c r="N63" s="180"/>
      <c r="O63" s="202">
        <f t="shared" si="5"/>
        <v>19009</v>
      </c>
      <c r="P63" s="203"/>
      <c r="Q63" s="224"/>
      <c r="R63" s="14">
        <v>123</v>
      </c>
      <c r="S63" s="14">
        <v>7</v>
      </c>
      <c r="T63" s="15">
        <v>6</v>
      </c>
      <c r="U63" s="174" t="s">
        <v>60</v>
      </c>
      <c r="V63" s="17">
        <v>705645.84</v>
      </c>
      <c r="W63" s="17">
        <v>18303841.120000001</v>
      </c>
      <c r="X63" s="17">
        <v>0</v>
      </c>
      <c r="Y63" s="223">
        <f t="shared" si="6"/>
        <v>19009</v>
      </c>
      <c r="Z63" s="216"/>
      <c r="AD63" s="20" t="str">
        <f t="shared" si="0"/>
        <v>1237TRAMITES FEDERALES</v>
      </c>
      <c r="AE63" s="20" t="str">
        <f>+VLOOKUP(AD63,Catálogo!E:F,2,0)</f>
        <v xml:space="preserve">Inventarios inmobiliarios y costos pagados por anticipado </v>
      </c>
      <c r="AF63" s="20" t="str">
        <f>+VLOOKUP(AD63,Catálogo!E:G,3,0)</f>
        <v>Gastos legales, financieros y por trámites (iii)</v>
      </c>
    </row>
    <row r="64" spans="1:32">
      <c r="A64" s="14">
        <v>123</v>
      </c>
      <c r="B64" s="14">
        <v>7</v>
      </c>
      <c r="C64" s="15">
        <v>7</v>
      </c>
      <c r="D64" s="174" t="s">
        <v>61</v>
      </c>
      <c r="E64" s="13">
        <v>993840</v>
      </c>
      <c r="F64" s="13">
        <v>84910</v>
      </c>
      <c r="G64" s="13">
        <v>0</v>
      </c>
      <c r="H64" s="13">
        <v>1078750</v>
      </c>
      <c r="I64" s="224"/>
      <c r="J64" s="194">
        <f t="shared" si="1"/>
        <v>1079</v>
      </c>
      <c r="K64" s="201" t="str">
        <f t="shared" si="2"/>
        <v>Inv</v>
      </c>
      <c r="L64" s="201" t="str">
        <f t="shared" si="3"/>
        <v>ok</v>
      </c>
      <c r="M64" s="202">
        <f t="shared" si="4"/>
        <v>1079</v>
      </c>
      <c r="N64" s="180"/>
      <c r="O64" s="202">
        <f t="shared" si="5"/>
        <v>1079</v>
      </c>
      <c r="P64" s="203"/>
      <c r="Q64" s="224"/>
      <c r="R64" s="14">
        <v>123</v>
      </c>
      <c r="S64" s="14">
        <v>7</v>
      </c>
      <c r="T64" s="15">
        <v>7</v>
      </c>
      <c r="U64" s="174" t="s">
        <v>61</v>
      </c>
      <c r="V64" s="17">
        <v>993840</v>
      </c>
      <c r="W64" s="17">
        <v>84910</v>
      </c>
      <c r="X64" s="17">
        <v>0</v>
      </c>
      <c r="Y64" s="223">
        <f t="shared" si="6"/>
        <v>1079</v>
      </c>
      <c r="Z64" s="216"/>
      <c r="AD64" s="20" t="str">
        <f t="shared" si="0"/>
        <v>1237ANTEPPROYECTO</v>
      </c>
      <c r="AE64" s="20" t="str">
        <f>+VLOOKUP(AD64,Catálogo!E:F,2,0)</f>
        <v xml:space="preserve">Inventarios inmobiliarios y costos pagados por anticipado </v>
      </c>
      <c r="AF64" s="20" t="str">
        <f>+VLOOKUP(AD64,Catálogo!E:G,3,0)</f>
        <v>Gastos legales, financieros y por trámites (iii)</v>
      </c>
    </row>
    <row r="65" spans="1:32">
      <c r="A65" s="14">
        <v>123</v>
      </c>
      <c r="B65" s="14">
        <v>7</v>
      </c>
      <c r="C65" s="15">
        <v>8</v>
      </c>
      <c r="D65" s="174" t="s">
        <v>62</v>
      </c>
      <c r="E65" s="13">
        <v>3451946.85</v>
      </c>
      <c r="F65" s="13">
        <v>3064250</v>
      </c>
      <c r="G65" s="13">
        <v>0</v>
      </c>
      <c r="H65" s="13">
        <v>6516196.8499999996</v>
      </c>
      <c r="I65" s="224"/>
      <c r="J65" s="194">
        <f t="shared" si="1"/>
        <v>6516</v>
      </c>
      <c r="K65" s="201" t="str">
        <f t="shared" si="2"/>
        <v>Inv</v>
      </c>
      <c r="L65" s="201" t="str">
        <f t="shared" si="3"/>
        <v>ok</v>
      </c>
      <c r="M65" s="202">
        <f t="shared" si="4"/>
        <v>6516</v>
      </c>
      <c r="N65" s="180"/>
      <c r="O65" s="202">
        <f t="shared" si="5"/>
        <v>6516</v>
      </c>
      <c r="P65" s="203"/>
      <c r="Q65" s="224"/>
      <c r="R65" s="14">
        <v>123</v>
      </c>
      <c r="S65" s="14">
        <v>7</v>
      </c>
      <c r="T65" s="15">
        <v>8</v>
      </c>
      <c r="U65" s="174" t="s">
        <v>62</v>
      </c>
      <c r="V65" s="17">
        <v>3451946.85</v>
      </c>
      <c r="W65" s="17">
        <v>3064250</v>
      </c>
      <c r="X65" s="17">
        <v>0</v>
      </c>
      <c r="Y65" s="223">
        <f t="shared" si="6"/>
        <v>6516</v>
      </c>
      <c r="Z65" s="216"/>
      <c r="AD65" s="20" t="str">
        <f t="shared" si="0"/>
        <v>1237PROYECTO EJECUTIVO</v>
      </c>
      <c r="AE65" s="20" t="str">
        <f>+VLOOKUP(AD65,Catálogo!E:F,2,0)</f>
        <v xml:space="preserve">Inventarios inmobiliarios y costos pagados por anticipado </v>
      </c>
      <c r="AF65" s="20" t="str">
        <f>+VLOOKUP(AD65,Catálogo!E:G,3,0)</f>
        <v>Gastos legales, financieros y por trámites (iii)</v>
      </c>
    </row>
    <row r="66" spans="1:32">
      <c r="A66" s="14">
        <v>123</v>
      </c>
      <c r="B66" s="14">
        <v>7</v>
      </c>
      <c r="C66" s="15">
        <v>9</v>
      </c>
      <c r="D66" s="174" t="s">
        <v>63</v>
      </c>
      <c r="E66" s="13">
        <v>3588194.68</v>
      </c>
      <c r="F66" s="13">
        <v>1163344.8500000001</v>
      </c>
      <c r="G66" s="13">
        <v>0</v>
      </c>
      <c r="H66" s="13">
        <v>4751539.53</v>
      </c>
      <c r="I66" s="224"/>
      <c r="J66" s="194">
        <f t="shared" si="1"/>
        <v>4752</v>
      </c>
      <c r="K66" s="201" t="str">
        <f t="shared" si="2"/>
        <v>Inv</v>
      </c>
      <c r="L66" s="201" t="str">
        <f t="shared" si="3"/>
        <v>ok</v>
      </c>
      <c r="M66" s="202">
        <f t="shared" si="4"/>
        <v>4752</v>
      </c>
      <c r="N66" s="180"/>
      <c r="O66" s="202">
        <f t="shared" si="5"/>
        <v>4752</v>
      </c>
      <c r="P66" s="203"/>
      <c r="Q66" s="224"/>
      <c r="R66" s="14">
        <v>123</v>
      </c>
      <c r="S66" s="14">
        <v>7</v>
      </c>
      <c r="T66" s="15">
        <v>9</v>
      </c>
      <c r="U66" s="174" t="s">
        <v>63</v>
      </c>
      <c r="V66" s="17">
        <v>3588194.68</v>
      </c>
      <c r="W66" s="17">
        <v>1163344.8500000001</v>
      </c>
      <c r="X66" s="17">
        <v>0</v>
      </c>
      <c r="Y66" s="223">
        <f t="shared" si="6"/>
        <v>4752</v>
      </c>
      <c r="Z66" s="216"/>
      <c r="AD66" s="20" t="str">
        <f t="shared" si="0"/>
        <v>1237INGENIERIAS</v>
      </c>
      <c r="AE66" s="20" t="str">
        <f>+VLOOKUP(AD66,Catálogo!E:F,2,0)</f>
        <v xml:space="preserve">Inventarios inmobiliarios y costos pagados por anticipado </v>
      </c>
      <c r="AF66" s="20" t="str">
        <f>+VLOOKUP(AD66,Catálogo!E:G,3,0)</f>
        <v>Gastos legales, financieros y por trámites (iii)</v>
      </c>
    </row>
    <row r="67" spans="1:32">
      <c r="A67" s="14">
        <v>123</v>
      </c>
      <c r="B67" s="14">
        <v>7</v>
      </c>
      <c r="C67" s="15">
        <v>10</v>
      </c>
      <c r="D67" s="174" t="s">
        <v>64</v>
      </c>
      <c r="E67" s="13">
        <v>0</v>
      </c>
      <c r="F67" s="13">
        <v>1119409.29</v>
      </c>
      <c r="G67" s="13">
        <v>0</v>
      </c>
      <c r="H67" s="13">
        <v>1119409.29</v>
      </c>
      <c r="I67" s="224"/>
      <c r="J67" s="194">
        <f t="shared" si="1"/>
        <v>1119</v>
      </c>
      <c r="K67" s="201" t="str">
        <f t="shared" si="2"/>
        <v>Inv</v>
      </c>
      <c r="L67" s="201" t="str">
        <f t="shared" si="3"/>
        <v>ok</v>
      </c>
      <c r="M67" s="202">
        <f t="shared" si="4"/>
        <v>1119</v>
      </c>
      <c r="N67" s="180"/>
      <c r="O67" s="202">
        <f t="shared" si="5"/>
        <v>1119</v>
      </c>
      <c r="P67" s="203"/>
      <c r="Q67" s="224"/>
      <c r="R67" s="14">
        <v>123</v>
      </c>
      <c r="S67" s="14">
        <v>7</v>
      </c>
      <c r="T67" s="15">
        <v>10</v>
      </c>
      <c r="U67" s="174" t="s">
        <v>64</v>
      </c>
      <c r="V67" s="17">
        <v>0</v>
      </c>
      <c r="W67" s="17">
        <v>1119409.29</v>
      </c>
      <c r="X67" s="17">
        <v>0</v>
      </c>
      <c r="Y67" s="223">
        <f t="shared" si="6"/>
        <v>1119</v>
      </c>
      <c r="Z67" s="216"/>
      <c r="AD67" s="20" t="str">
        <f t="shared" si="0"/>
        <v>1237SERVICIOS</v>
      </c>
      <c r="AE67" s="20" t="str">
        <f>+VLOOKUP(AD67,Catálogo!E:F,2,0)</f>
        <v xml:space="preserve">Inventarios inmobiliarios y costos pagados por anticipado </v>
      </c>
      <c r="AF67" s="20" t="str">
        <f>+VLOOKUP(AD67,Catálogo!E:G,3,0)</f>
        <v>Gastos legales, financieros y por trámites (iii)</v>
      </c>
    </row>
    <row r="68" spans="1:32">
      <c r="A68" s="14">
        <v>123</v>
      </c>
      <c r="B68" s="14">
        <v>7</v>
      </c>
      <c r="C68" s="15">
        <v>11</v>
      </c>
      <c r="D68" s="174" t="s">
        <v>65</v>
      </c>
      <c r="E68" s="13">
        <v>1878135.49</v>
      </c>
      <c r="F68" s="13">
        <v>21076694.890000001</v>
      </c>
      <c r="G68" s="13">
        <v>0</v>
      </c>
      <c r="H68" s="13">
        <v>22954830.379999999</v>
      </c>
      <c r="I68" s="224"/>
      <c r="J68" s="194">
        <f t="shared" si="1"/>
        <v>22955</v>
      </c>
      <c r="K68" s="201" t="str">
        <f t="shared" si="2"/>
        <v>Inv</v>
      </c>
      <c r="L68" s="201" t="str">
        <f t="shared" si="3"/>
        <v>ok</v>
      </c>
      <c r="M68" s="202">
        <f t="shared" si="4"/>
        <v>22955</v>
      </c>
      <c r="N68" s="180"/>
      <c r="O68" s="202">
        <f t="shared" si="5"/>
        <v>22955</v>
      </c>
      <c r="P68" s="203"/>
      <c r="Q68" s="224"/>
      <c r="R68" s="14">
        <v>123</v>
      </c>
      <c r="S68" s="14">
        <v>7</v>
      </c>
      <c r="T68" s="15">
        <v>11</v>
      </c>
      <c r="U68" s="174" t="s">
        <v>65</v>
      </c>
      <c r="V68" s="17">
        <v>1878135.49</v>
      </c>
      <c r="W68" s="17">
        <v>21076694.890000001</v>
      </c>
      <c r="X68" s="17">
        <v>0</v>
      </c>
      <c r="Y68" s="223">
        <f t="shared" si="6"/>
        <v>22955</v>
      </c>
      <c r="Z68" s="216"/>
      <c r="AD68" s="20" t="str">
        <f t="shared" si="0"/>
        <v>1237FINANCIEROS</v>
      </c>
      <c r="AE68" s="20" t="str">
        <f>+VLOOKUP(AD68,Catálogo!E:F,2,0)</f>
        <v xml:space="preserve">Inventarios inmobiliarios y costos pagados por anticipado </v>
      </c>
      <c r="AF68" s="20" t="str">
        <f>+VLOOKUP(AD68,Catálogo!E:G,3,0)</f>
        <v>Gastos legales, financieros y por trámites (iii)</v>
      </c>
    </row>
    <row r="69" spans="1:32">
      <c r="A69" s="14">
        <v>123</v>
      </c>
      <c r="B69" s="14">
        <v>7</v>
      </c>
      <c r="C69" s="15">
        <v>12</v>
      </c>
      <c r="D69" s="174" t="s">
        <v>66</v>
      </c>
      <c r="E69" s="13">
        <v>45973480.509999998</v>
      </c>
      <c r="F69" s="13">
        <v>8623584.0700000003</v>
      </c>
      <c r="G69" s="13">
        <v>0</v>
      </c>
      <c r="H69" s="13">
        <v>54597064.579999998</v>
      </c>
      <c r="I69" s="224"/>
      <c r="J69" s="194">
        <f t="shared" si="1"/>
        <v>54597</v>
      </c>
      <c r="K69" s="201" t="str">
        <f t="shared" si="2"/>
        <v>Inv</v>
      </c>
      <c r="L69" s="201" t="str">
        <f t="shared" si="3"/>
        <v>ok</v>
      </c>
      <c r="M69" s="202">
        <f t="shared" si="4"/>
        <v>54597</v>
      </c>
      <c r="N69" s="180"/>
      <c r="O69" s="202">
        <f t="shared" si="5"/>
        <v>54597</v>
      </c>
      <c r="P69" s="203"/>
      <c r="Q69" s="224"/>
      <c r="R69" s="14">
        <v>123</v>
      </c>
      <c r="S69" s="14">
        <v>7</v>
      </c>
      <c r="T69" s="15">
        <v>12</v>
      </c>
      <c r="U69" s="174" t="s">
        <v>66</v>
      </c>
      <c r="V69" s="17">
        <v>45973480.509999998</v>
      </c>
      <c r="W69" s="17">
        <v>8623584.0700000003</v>
      </c>
      <c r="X69" s="17">
        <v>0</v>
      </c>
      <c r="Y69" s="223">
        <f t="shared" si="6"/>
        <v>54597</v>
      </c>
      <c r="Z69" s="216"/>
      <c r="AD69" s="20" t="str">
        <f t="shared" si="0"/>
        <v>1237ADMINISTRATIVOS DE OBRA</v>
      </c>
      <c r="AE69" s="20" t="str">
        <f>+VLOOKUP(AD69,Catálogo!E:F,2,0)</f>
        <v xml:space="preserve">Inventarios inmobiliarios y costos pagados por anticipado </v>
      </c>
      <c r="AF69" s="20" t="str">
        <f>+VLOOKUP(AD69,Catálogo!E:G,3,0)</f>
        <v>Gastos legales, financieros y por trámites (iii)</v>
      </c>
    </row>
    <row r="70" spans="1:32">
      <c r="A70" s="14">
        <v>123</v>
      </c>
      <c r="B70" s="14">
        <v>7</v>
      </c>
      <c r="C70" s="15">
        <v>13</v>
      </c>
      <c r="D70" s="174" t="s">
        <v>67</v>
      </c>
      <c r="E70" s="13">
        <v>118541.26</v>
      </c>
      <c r="F70" s="13">
        <v>537602.76</v>
      </c>
      <c r="G70" s="13">
        <v>0</v>
      </c>
      <c r="H70" s="13">
        <v>656144.02</v>
      </c>
      <c r="I70" s="224"/>
      <c r="J70" s="194">
        <f t="shared" si="1"/>
        <v>656</v>
      </c>
      <c r="K70" s="201" t="str">
        <f t="shared" si="2"/>
        <v>Inv</v>
      </c>
      <c r="L70" s="201" t="str">
        <f t="shared" si="3"/>
        <v>ok</v>
      </c>
      <c r="M70" s="202">
        <f t="shared" si="4"/>
        <v>656</v>
      </c>
      <c r="N70" s="180"/>
      <c r="O70" s="202">
        <f t="shared" si="5"/>
        <v>656</v>
      </c>
      <c r="P70" s="203"/>
      <c r="Q70" s="224"/>
      <c r="R70" s="14">
        <v>123</v>
      </c>
      <c r="S70" s="14">
        <v>7</v>
      </c>
      <c r="T70" s="15">
        <v>13</v>
      </c>
      <c r="U70" s="174" t="s">
        <v>67</v>
      </c>
      <c r="V70" s="17">
        <v>118541.26</v>
      </c>
      <c r="W70" s="17">
        <v>537602.76</v>
      </c>
      <c r="X70" s="17">
        <v>0</v>
      </c>
      <c r="Y70" s="223">
        <f t="shared" si="6"/>
        <v>656</v>
      </c>
      <c r="Z70" s="216"/>
      <c r="AD70" s="20" t="str">
        <f t="shared" si="0"/>
        <v>1237ASESORIA Y GASTOS LEGALES</v>
      </c>
      <c r="AE70" s="20" t="str">
        <f>+VLOOKUP(AD70,Catálogo!E:F,2,0)</f>
        <v xml:space="preserve">Inventarios inmobiliarios y costos pagados por anticipado </v>
      </c>
      <c r="AF70" s="20" t="str">
        <f>+VLOOKUP(AD70,Catálogo!E:G,3,0)</f>
        <v>Gastos legales, financieros y por trámites (iii)</v>
      </c>
    </row>
    <row r="71" spans="1:32">
      <c r="A71" s="14">
        <v>123</v>
      </c>
      <c r="B71" s="14">
        <v>7</v>
      </c>
      <c r="C71" s="15">
        <v>18</v>
      </c>
      <c r="D71" s="174" t="s">
        <v>68</v>
      </c>
      <c r="E71" s="13">
        <v>0</v>
      </c>
      <c r="F71" s="13">
        <v>3373589.89</v>
      </c>
      <c r="G71" s="13">
        <v>0</v>
      </c>
      <c r="H71" s="13">
        <v>3373589.89</v>
      </c>
      <c r="I71" s="224"/>
      <c r="J71" s="194">
        <f t="shared" si="1"/>
        <v>3374</v>
      </c>
      <c r="K71" s="201" t="str">
        <f t="shared" si="2"/>
        <v>Inv</v>
      </c>
      <c r="L71" s="201" t="str">
        <f t="shared" si="3"/>
        <v>ok</v>
      </c>
      <c r="M71" s="202">
        <f t="shared" si="4"/>
        <v>3374</v>
      </c>
      <c r="N71" s="180"/>
      <c r="O71" s="202">
        <f t="shared" si="5"/>
        <v>3374</v>
      </c>
      <c r="P71" s="203"/>
      <c r="Q71" s="224"/>
      <c r="R71" s="14">
        <v>123</v>
      </c>
      <c r="S71" s="14">
        <v>7</v>
      </c>
      <c r="T71" s="15">
        <v>18</v>
      </c>
      <c r="U71" s="174" t="s">
        <v>68</v>
      </c>
      <c r="V71" s="17">
        <v>0</v>
      </c>
      <c r="W71" s="17">
        <v>3373589.89</v>
      </c>
      <c r="X71" s="17">
        <v>0</v>
      </c>
      <c r="Y71" s="223">
        <f t="shared" si="6"/>
        <v>3374</v>
      </c>
      <c r="Z71" s="216"/>
      <c r="AD71" s="20" t="str">
        <f t="shared" si="0"/>
        <v>1237COMERCIALIZACION PREOPERATIVOS</v>
      </c>
      <c r="AE71" s="20" t="str">
        <f>+VLOOKUP(AD71,Catálogo!E:F,2,0)</f>
        <v xml:space="preserve">Inventarios inmobiliarios y costos pagados por anticipado </v>
      </c>
      <c r="AF71" s="20" t="str">
        <f>+VLOOKUP(AD71,Catálogo!E:G,3,0)</f>
        <v>Gastos legales, financieros y por trámites (iii)</v>
      </c>
    </row>
    <row r="72" spans="1:32">
      <c r="A72" s="10">
        <v>123</v>
      </c>
      <c r="B72" s="10">
        <v>9</v>
      </c>
      <c r="C72" s="11">
        <v>0</v>
      </c>
      <c r="D72" s="219" t="s">
        <v>69</v>
      </c>
      <c r="E72" s="24">
        <v>20180706.079999998</v>
      </c>
      <c r="F72" s="24">
        <v>0</v>
      </c>
      <c r="G72" s="24">
        <v>0</v>
      </c>
      <c r="H72" s="24">
        <v>20180706.079999998</v>
      </c>
      <c r="I72" s="224"/>
      <c r="J72" s="194">
        <f t="shared" si="1"/>
        <v>20181</v>
      </c>
      <c r="K72" s="201">
        <f t="shared" si="2"/>
        <v>0</v>
      </c>
      <c r="L72" s="201">
        <f t="shared" si="3"/>
        <v>0</v>
      </c>
      <c r="M72" s="202">
        <f t="shared" si="4"/>
        <v>0</v>
      </c>
      <c r="N72" s="180"/>
      <c r="O72" s="202">
        <f t="shared" si="5"/>
        <v>0</v>
      </c>
      <c r="P72" s="203"/>
      <c r="Q72" s="224"/>
      <c r="R72" s="10">
        <v>123</v>
      </c>
      <c r="S72" s="10">
        <v>9</v>
      </c>
      <c r="T72" s="11">
        <v>0</v>
      </c>
      <c r="U72" s="219" t="s">
        <v>69</v>
      </c>
      <c r="V72" s="23">
        <v>20180706.079999998</v>
      </c>
      <c r="W72" s="23">
        <v>0</v>
      </c>
      <c r="X72" s="23">
        <v>0</v>
      </c>
      <c r="Y72" s="223">
        <f t="shared" si="6"/>
        <v>0</v>
      </c>
      <c r="Z72" s="216"/>
      <c r="AD72" s="20" t="str">
        <f t="shared" si="0"/>
        <v>1239COMERCIALIZACION/FACTURACION</v>
      </c>
      <c r="AE72" s="20" t="e">
        <f>+VLOOKUP(AD72,Catálogo!E:F,2,0)</f>
        <v>#N/A</v>
      </c>
      <c r="AF72" s="20">
        <f>+VLOOKUP(AD72,Catálogo!E:G,3,0)</f>
        <v>0</v>
      </c>
    </row>
    <row r="73" spans="1:32">
      <c r="A73" s="14">
        <v>123</v>
      </c>
      <c r="B73" s="14">
        <v>9</v>
      </c>
      <c r="C73" s="15">
        <v>1</v>
      </c>
      <c r="D73" s="174" t="s">
        <v>539</v>
      </c>
      <c r="E73" s="13">
        <v>20180706.079999998</v>
      </c>
      <c r="F73" s="13">
        <v>0</v>
      </c>
      <c r="G73" s="13">
        <v>0</v>
      </c>
      <c r="H73" s="13">
        <v>20180706.079999998</v>
      </c>
      <c r="I73" s="224"/>
      <c r="J73" s="194">
        <f t="shared" si="1"/>
        <v>20181</v>
      </c>
      <c r="K73" s="201" t="str">
        <f t="shared" si="2"/>
        <v>Inv</v>
      </c>
      <c r="L73" s="201" t="str">
        <f t="shared" si="3"/>
        <v>ok</v>
      </c>
      <c r="M73" s="202">
        <f t="shared" si="4"/>
        <v>20181</v>
      </c>
      <c r="N73" s="180"/>
      <c r="O73" s="202">
        <f t="shared" si="5"/>
        <v>20181</v>
      </c>
      <c r="P73" s="203"/>
      <c r="Q73" s="224"/>
      <c r="R73" s="14">
        <v>123</v>
      </c>
      <c r="S73" s="14">
        <v>9</v>
      </c>
      <c r="T73" s="15">
        <v>1</v>
      </c>
      <c r="U73" s="174" t="s">
        <v>539</v>
      </c>
      <c r="V73" s="17">
        <v>20180706.079999998</v>
      </c>
      <c r="W73" s="17">
        <v>0</v>
      </c>
      <c r="X73" s="17">
        <v>0</v>
      </c>
      <c r="Y73" s="223">
        <f t="shared" si="6"/>
        <v>20181</v>
      </c>
      <c r="Z73" s="216"/>
      <c r="AD73" s="20" t="str">
        <f t="shared" si="0"/>
        <v>1239COMERCIALIZACION.</v>
      </c>
      <c r="AE73" s="20" t="str">
        <f>+VLOOKUP(AD73,Catálogo!E:F,2,0)</f>
        <v xml:space="preserve">Inventarios inmobiliarios y costos pagados por anticipado </v>
      </c>
      <c r="AF73" s="20" t="str">
        <f>+VLOOKUP(AD73,Catálogo!E:G,3,0)</f>
        <v>Gastos administrativos y de comercialización (iv)</v>
      </c>
    </row>
    <row r="74" spans="1:32">
      <c r="A74" s="6">
        <v>125</v>
      </c>
      <c r="B74" s="6">
        <v>0</v>
      </c>
      <c r="C74" s="7">
        <v>0</v>
      </c>
      <c r="D74" s="218" t="s">
        <v>71</v>
      </c>
      <c r="E74" s="22">
        <v>96120</v>
      </c>
      <c r="F74" s="22">
        <v>0</v>
      </c>
      <c r="G74" s="22">
        <v>-53430</v>
      </c>
      <c r="H74" s="22">
        <v>42690</v>
      </c>
      <c r="I74" s="223"/>
      <c r="J74" s="194">
        <f t="shared" si="1"/>
        <v>43</v>
      </c>
      <c r="K74" s="201">
        <f t="shared" si="2"/>
        <v>0</v>
      </c>
      <c r="L74" s="201">
        <f t="shared" si="3"/>
        <v>0</v>
      </c>
      <c r="M74" s="202">
        <f t="shared" si="4"/>
        <v>0</v>
      </c>
      <c r="N74" s="180"/>
      <c r="O74" s="202">
        <f t="shared" si="5"/>
        <v>0</v>
      </c>
      <c r="P74" s="203"/>
      <c r="Q74" s="223"/>
      <c r="R74" s="6">
        <v>125</v>
      </c>
      <c r="S74" s="6">
        <v>0</v>
      </c>
      <c r="T74" s="7">
        <v>0</v>
      </c>
      <c r="U74" s="218" t="s">
        <v>71</v>
      </c>
      <c r="V74" s="22">
        <v>96120</v>
      </c>
      <c r="W74" s="22">
        <v>0</v>
      </c>
      <c r="X74" s="22">
        <v>-53430</v>
      </c>
      <c r="Y74" s="223">
        <f t="shared" si="6"/>
        <v>0</v>
      </c>
      <c r="Z74" s="216"/>
      <c r="AD74" s="20" t="str">
        <f t="shared" si="0"/>
        <v>1250EQUIPO DE COMPUTO</v>
      </c>
      <c r="AE74" s="20" t="e">
        <f>+VLOOKUP(AD74,Catálogo!E:F,2,0)</f>
        <v>#N/A</v>
      </c>
      <c r="AF74" s="20">
        <f>+VLOOKUP(AD74,Catálogo!E:G,3,0)</f>
        <v>0</v>
      </c>
    </row>
    <row r="75" spans="1:32">
      <c r="A75" s="10">
        <v>125</v>
      </c>
      <c r="B75" s="10">
        <v>1</v>
      </c>
      <c r="C75" s="11">
        <v>0</v>
      </c>
      <c r="D75" s="219" t="s">
        <v>72</v>
      </c>
      <c r="E75" s="24">
        <v>96120</v>
      </c>
      <c r="F75" s="24">
        <v>0</v>
      </c>
      <c r="G75" s="24">
        <v>-53430</v>
      </c>
      <c r="H75" s="24">
        <v>42690</v>
      </c>
      <c r="I75" s="224"/>
      <c r="J75" s="194">
        <f t="shared" si="1"/>
        <v>43</v>
      </c>
      <c r="K75" s="201">
        <f t="shared" si="2"/>
        <v>0</v>
      </c>
      <c r="L75" s="201">
        <f t="shared" si="3"/>
        <v>0</v>
      </c>
      <c r="M75" s="202">
        <f t="shared" si="4"/>
        <v>0</v>
      </c>
      <c r="N75" s="180"/>
      <c r="O75" s="202">
        <f t="shared" si="5"/>
        <v>0</v>
      </c>
      <c r="P75" s="203"/>
      <c r="Q75" s="224"/>
      <c r="R75" s="10">
        <v>125</v>
      </c>
      <c r="S75" s="10">
        <v>1</v>
      </c>
      <c r="T75" s="11">
        <v>0</v>
      </c>
      <c r="U75" s="219" t="s">
        <v>72</v>
      </c>
      <c r="V75" s="23">
        <v>96120</v>
      </c>
      <c r="W75" s="23">
        <v>0</v>
      </c>
      <c r="X75" s="23">
        <v>-53430</v>
      </c>
      <c r="Y75" s="223">
        <f t="shared" si="6"/>
        <v>0</v>
      </c>
      <c r="Z75" s="216"/>
      <c r="AD75" s="20" t="str">
        <f t="shared" ref="AD75:AD138" si="7">+CONCATENATE(A75,B75,D75)</f>
        <v>1251INVERSION EQUIPO DE COMPUTO</v>
      </c>
      <c r="AE75" s="20" t="e">
        <f>+VLOOKUP(AD75,Catálogo!E:F,2,0)</f>
        <v>#N/A</v>
      </c>
      <c r="AF75" s="20">
        <f>+VLOOKUP(AD75,Catálogo!E:G,3,0)</f>
        <v>0</v>
      </c>
    </row>
    <row r="76" spans="1:32">
      <c r="A76" s="14">
        <v>125</v>
      </c>
      <c r="B76" s="14">
        <v>1</v>
      </c>
      <c r="C76" s="15">
        <v>1</v>
      </c>
      <c r="D76" s="174" t="s">
        <v>73</v>
      </c>
      <c r="E76" s="13">
        <v>178100</v>
      </c>
      <c r="F76" s="13">
        <v>0</v>
      </c>
      <c r="G76" s="13">
        <v>0</v>
      </c>
      <c r="H76" s="13">
        <v>178100</v>
      </c>
      <c r="I76" s="224"/>
      <c r="J76" s="194">
        <f t="shared" ref="J76:J139" si="8">+ROUND(H76/1000,0)</f>
        <v>178</v>
      </c>
      <c r="K76" s="201" t="str">
        <f t="shared" ref="K76:K139" si="9">+IFERROR(LEFT(AE76,3),0)</f>
        <v>Mob</v>
      </c>
      <c r="L76" s="201" t="str">
        <f t="shared" ref="L76:L139" si="10">+IFERROR(ABS(K76),"ok")</f>
        <v>ok</v>
      </c>
      <c r="M76" s="202">
        <f t="shared" ref="M76:M139" si="11">+IF(L76="ok",J76,0)</f>
        <v>178</v>
      </c>
      <c r="N76" s="180"/>
      <c r="O76" s="202">
        <f t="shared" ref="O76:O139" si="12">+M76+N76</f>
        <v>178</v>
      </c>
      <c r="P76" s="203"/>
      <c r="Q76" s="224"/>
      <c r="R76" s="14">
        <v>125</v>
      </c>
      <c r="S76" s="14">
        <v>1</v>
      </c>
      <c r="T76" s="15">
        <v>1</v>
      </c>
      <c r="U76" s="174" t="s">
        <v>73</v>
      </c>
      <c r="V76" s="17">
        <v>178100</v>
      </c>
      <c r="W76" s="17">
        <v>0</v>
      </c>
      <c r="X76" s="17">
        <v>0</v>
      </c>
      <c r="Y76" s="223">
        <f t="shared" ref="Y76:Y129" si="13">+O76</f>
        <v>178</v>
      </c>
      <c r="Z76" s="216"/>
      <c r="AD76" s="20" t="str">
        <f t="shared" si="7"/>
        <v>1251INVERSIÓN EQP COMPUTO</v>
      </c>
      <c r="AE76" s="20" t="str">
        <f>+VLOOKUP(AD76,Catálogo!E:F,2,0)</f>
        <v>Mobiliario y equipo, neto</v>
      </c>
      <c r="AF76" s="20">
        <f>+VLOOKUP(AD76,Catálogo!E:G,3,0)</f>
        <v>0</v>
      </c>
    </row>
    <row r="77" spans="1:32">
      <c r="A77" s="14">
        <v>125</v>
      </c>
      <c r="B77" s="14">
        <v>1</v>
      </c>
      <c r="C77" s="15">
        <v>2</v>
      </c>
      <c r="D77" s="174" t="s">
        <v>74</v>
      </c>
      <c r="E77" s="13">
        <v>-81980</v>
      </c>
      <c r="F77" s="13">
        <v>0</v>
      </c>
      <c r="G77" s="13">
        <v>-53430</v>
      </c>
      <c r="H77" s="13">
        <v>-135410</v>
      </c>
      <c r="I77" s="224"/>
      <c r="J77" s="194">
        <f t="shared" si="8"/>
        <v>-135</v>
      </c>
      <c r="K77" s="201" t="str">
        <f t="shared" si="9"/>
        <v>Mob</v>
      </c>
      <c r="L77" s="201" t="str">
        <f t="shared" si="10"/>
        <v>ok</v>
      </c>
      <c r="M77" s="202">
        <f t="shared" si="11"/>
        <v>-135</v>
      </c>
      <c r="N77" s="180"/>
      <c r="O77" s="202">
        <f t="shared" si="12"/>
        <v>-135</v>
      </c>
      <c r="P77" s="203"/>
      <c r="Q77" s="224"/>
      <c r="R77" s="14">
        <v>125</v>
      </c>
      <c r="S77" s="14">
        <v>1</v>
      </c>
      <c r="T77" s="15">
        <v>2</v>
      </c>
      <c r="U77" s="174" t="s">
        <v>74</v>
      </c>
      <c r="V77" s="17">
        <v>-81980</v>
      </c>
      <c r="W77" s="17">
        <v>0</v>
      </c>
      <c r="X77" s="17">
        <v>-53430</v>
      </c>
      <c r="Y77" s="223">
        <f t="shared" si="13"/>
        <v>-135</v>
      </c>
      <c r="Z77" s="216"/>
      <c r="AD77" s="20" t="str">
        <f t="shared" si="7"/>
        <v>1251DEPRECIACIÓN EQP COMPUTO</v>
      </c>
      <c r="AE77" s="20" t="str">
        <f>+VLOOKUP(AD77,Catálogo!E:F,2,0)</f>
        <v>Mobiliario y equipo, neto</v>
      </c>
      <c r="AF77" s="20">
        <f>+VLOOKUP(AD77,Catálogo!E:G,3,0)</f>
        <v>0</v>
      </c>
    </row>
    <row r="78" spans="1:32">
      <c r="A78" s="6">
        <v>173</v>
      </c>
      <c r="B78" s="6">
        <v>0</v>
      </c>
      <c r="C78" s="7">
        <v>0</v>
      </c>
      <c r="D78" s="218" t="s">
        <v>75</v>
      </c>
      <c r="E78" s="22">
        <v>0</v>
      </c>
      <c r="F78" s="22">
        <v>3074005</v>
      </c>
      <c r="G78" s="22">
        <v>-2957500</v>
      </c>
      <c r="H78" s="22">
        <v>116505</v>
      </c>
      <c r="I78" s="223"/>
      <c r="J78" s="194">
        <f t="shared" si="8"/>
        <v>117</v>
      </c>
      <c r="K78" s="201">
        <f t="shared" si="9"/>
        <v>0</v>
      </c>
      <c r="L78" s="201">
        <f t="shared" si="10"/>
        <v>0</v>
      </c>
      <c r="M78" s="202">
        <f t="shared" si="11"/>
        <v>0</v>
      </c>
      <c r="N78" s="180"/>
      <c r="O78" s="202">
        <f t="shared" si="12"/>
        <v>0</v>
      </c>
      <c r="P78" s="203"/>
      <c r="Q78" s="223"/>
      <c r="R78" s="6">
        <v>173</v>
      </c>
      <c r="S78" s="6">
        <v>0</v>
      </c>
      <c r="T78" s="7">
        <v>0</v>
      </c>
      <c r="U78" s="218" t="s">
        <v>75</v>
      </c>
      <c r="V78" s="22">
        <v>0</v>
      </c>
      <c r="W78" s="22">
        <v>3074005</v>
      </c>
      <c r="X78" s="22">
        <v>-2957500</v>
      </c>
      <c r="Y78" s="223">
        <f t="shared" si="13"/>
        <v>0</v>
      </c>
      <c r="Z78" s="216"/>
      <c r="AD78" s="20" t="str">
        <f t="shared" si="7"/>
        <v>1730DEPOSITOS EN GARANTIA</v>
      </c>
      <c r="AE78" s="20" t="e">
        <f>+VLOOKUP(AD78,Catálogo!E:F,2,0)</f>
        <v>#N/A</v>
      </c>
      <c r="AF78" s="221">
        <v>0</v>
      </c>
    </row>
    <row r="79" spans="1:32">
      <c r="A79" s="14">
        <v>173</v>
      </c>
      <c r="B79" s="14">
        <v>1</v>
      </c>
      <c r="C79" s="15">
        <v>0</v>
      </c>
      <c r="D79" s="174" t="s">
        <v>76</v>
      </c>
      <c r="E79" s="13">
        <v>0</v>
      </c>
      <c r="F79" s="13">
        <v>3074005</v>
      </c>
      <c r="G79" s="13">
        <v>-2957500</v>
      </c>
      <c r="H79" s="13">
        <v>116505</v>
      </c>
      <c r="I79" s="224"/>
      <c r="J79" s="194">
        <f t="shared" si="8"/>
        <v>117</v>
      </c>
      <c r="K79" s="201" t="str">
        <f t="shared" si="9"/>
        <v>Inv</v>
      </c>
      <c r="L79" s="201" t="str">
        <f t="shared" si="10"/>
        <v>ok</v>
      </c>
      <c r="M79" s="202">
        <f t="shared" si="11"/>
        <v>117</v>
      </c>
      <c r="N79" s="180"/>
      <c r="O79" s="202">
        <f t="shared" si="12"/>
        <v>117</v>
      </c>
      <c r="P79" s="203"/>
      <c r="Q79" s="224"/>
      <c r="R79" s="14">
        <v>173</v>
      </c>
      <c r="S79" s="14">
        <v>1</v>
      </c>
      <c r="T79" s="15">
        <v>0</v>
      </c>
      <c r="U79" s="174" t="s">
        <v>76</v>
      </c>
      <c r="V79" s="17">
        <v>0</v>
      </c>
      <c r="W79" s="17">
        <v>3074005</v>
      </c>
      <c r="X79" s="17">
        <v>-2957500</v>
      </c>
      <c r="Y79" s="223">
        <f t="shared" si="13"/>
        <v>117</v>
      </c>
      <c r="Z79" s="216"/>
      <c r="AD79" s="20" t="str">
        <f t="shared" si="7"/>
        <v>1731DEPOSITOS EN GARANTIA M.N.</v>
      </c>
      <c r="AE79" s="20" t="str">
        <f>+VLOOKUP(AD79,Catálogo!E:F,2,0)</f>
        <v xml:space="preserve">Inventarios inmobiliarios y costos pagados por anticipado </v>
      </c>
      <c r="AF79" s="20" t="str">
        <f>+VLOOKUP(AD79,Catálogo!E:G,3,0)</f>
        <v>Otros pagos anticipados (v)</v>
      </c>
    </row>
    <row r="80" spans="1:32">
      <c r="A80" s="6">
        <v>201</v>
      </c>
      <c r="B80" s="6">
        <v>0</v>
      </c>
      <c r="C80" s="7">
        <v>0</v>
      </c>
      <c r="D80" s="218" t="s">
        <v>77</v>
      </c>
      <c r="E80" s="22">
        <v>-18621428.899999999</v>
      </c>
      <c r="F80" s="22">
        <v>312382420.49000001</v>
      </c>
      <c r="G80" s="22">
        <v>-301118230.35000002</v>
      </c>
      <c r="H80" s="22">
        <v>-7357238.7599999998</v>
      </c>
      <c r="I80" s="223"/>
      <c r="J80" s="194">
        <f t="shared" si="8"/>
        <v>-7357</v>
      </c>
      <c r="K80" s="201">
        <f t="shared" si="9"/>
        <v>0</v>
      </c>
      <c r="L80" s="201">
        <f t="shared" si="10"/>
        <v>0</v>
      </c>
      <c r="M80" s="202">
        <f t="shared" si="11"/>
        <v>0</v>
      </c>
      <c r="N80" s="180"/>
      <c r="O80" s="202">
        <f t="shared" si="12"/>
        <v>0</v>
      </c>
      <c r="P80" s="203"/>
      <c r="Q80" s="223"/>
      <c r="R80" s="6">
        <v>201</v>
      </c>
      <c r="S80" s="6">
        <v>0</v>
      </c>
      <c r="T80" s="7">
        <v>0</v>
      </c>
      <c r="U80" s="218" t="s">
        <v>77</v>
      </c>
      <c r="V80" s="22">
        <v>-18621428.899999999</v>
      </c>
      <c r="W80" s="22">
        <v>312382420.49000001</v>
      </c>
      <c r="X80" s="22">
        <v>-301118230.35000002</v>
      </c>
      <c r="Y80" s="223">
        <f t="shared" si="13"/>
        <v>0</v>
      </c>
      <c r="Z80" s="216"/>
      <c r="AD80" s="20" t="str">
        <f t="shared" si="7"/>
        <v>2010PROVEEDORES</v>
      </c>
      <c r="AE80" s="20" t="e">
        <f>+VLOOKUP(AD80,Catálogo!E:F,2,0)</f>
        <v>#N/A</v>
      </c>
      <c r="AF80" s="20">
        <f>+VLOOKUP(AD80,Catálogo!E:G,3,0)</f>
        <v>0</v>
      </c>
    </row>
    <row r="81" spans="1:32">
      <c r="A81" s="14">
        <v>201</v>
      </c>
      <c r="B81" s="14">
        <v>1</v>
      </c>
      <c r="C81" s="15">
        <v>0</v>
      </c>
      <c r="D81" s="174" t="s">
        <v>78</v>
      </c>
      <c r="E81" s="13">
        <v>-18438326.91</v>
      </c>
      <c r="F81" s="13">
        <v>310290250.13999999</v>
      </c>
      <c r="G81" s="13">
        <v>-299213277.99000001</v>
      </c>
      <c r="H81" s="13">
        <v>-7361354.7599999998</v>
      </c>
      <c r="I81" s="224"/>
      <c r="J81" s="194">
        <f t="shared" si="8"/>
        <v>-7361</v>
      </c>
      <c r="K81" s="201" t="str">
        <f t="shared" si="9"/>
        <v>Pro</v>
      </c>
      <c r="L81" s="201" t="str">
        <f t="shared" si="10"/>
        <v>ok</v>
      </c>
      <c r="M81" s="202">
        <f t="shared" si="11"/>
        <v>-7361</v>
      </c>
      <c r="N81" s="180"/>
      <c r="O81" s="202">
        <f t="shared" si="12"/>
        <v>-7361</v>
      </c>
      <c r="P81" s="203"/>
      <c r="Q81" s="224"/>
      <c r="R81" s="14">
        <v>201</v>
      </c>
      <c r="S81" s="14">
        <v>1</v>
      </c>
      <c r="T81" s="15">
        <v>0</v>
      </c>
      <c r="U81" s="174" t="s">
        <v>78</v>
      </c>
      <c r="V81" s="17">
        <v>-18438326.91</v>
      </c>
      <c r="W81" s="17">
        <v>310290250.13999999</v>
      </c>
      <c r="X81" s="17">
        <v>-299213277.99000001</v>
      </c>
      <c r="Y81" s="223">
        <f t="shared" si="13"/>
        <v>-7361</v>
      </c>
      <c r="Z81" s="216"/>
      <c r="AD81" s="20" t="str">
        <f t="shared" si="7"/>
        <v>2011PROVEEDORES M.N.</v>
      </c>
      <c r="AE81" s="20" t="str">
        <f>+VLOOKUP(AD81,Catálogo!E:F,2,0)</f>
        <v>Proveedores y acreedores diversos</v>
      </c>
      <c r="AF81" s="20">
        <f>+VLOOKUP(AD81,Catálogo!E:G,3,0)</f>
        <v>0</v>
      </c>
    </row>
    <row r="82" spans="1:32">
      <c r="A82" s="14">
        <v>201</v>
      </c>
      <c r="B82" s="14">
        <v>2</v>
      </c>
      <c r="C82" s="15">
        <v>0</v>
      </c>
      <c r="D82" s="174" t="s">
        <v>79</v>
      </c>
      <c r="E82" s="13">
        <v>-9457.0300000000007</v>
      </c>
      <c r="F82" s="13">
        <v>122319.1</v>
      </c>
      <c r="G82" s="13">
        <v>-112862.07</v>
      </c>
      <c r="H82" s="13">
        <v>0</v>
      </c>
      <c r="I82" s="224"/>
      <c r="J82" s="194">
        <f t="shared" si="8"/>
        <v>0</v>
      </c>
      <c r="K82" s="201" t="str">
        <f t="shared" si="9"/>
        <v>Pro</v>
      </c>
      <c r="L82" s="201" t="str">
        <f t="shared" si="10"/>
        <v>ok</v>
      </c>
      <c r="M82" s="202">
        <f t="shared" si="11"/>
        <v>0</v>
      </c>
      <c r="N82" s="180"/>
      <c r="O82" s="202">
        <f t="shared" si="12"/>
        <v>0</v>
      </c>
      <c r="P82" s="203"/>
      <c r="Q82" s="224"/>
      <c r="R82" s="14">
        <v>201</v>
      </c>
      <c r="S82" s="14">
        <v>2</v>
      </c>
      <c r="T82" s="15">
        <v>0</v>
      </c>
      <c r="U82" s="174" t="s">
        <v>79</v>
      </c>
      <c r="V82" s="17">
        <v>-9457.0300000000007</v>
      </c>
      <c r="W82" s="17">
        <v>122319.1</v>
      </c>
      <c r="X82" s="17">
        <v>-112862.07</v>
      </c>
      <c r="Y82" s="223">
        <f t="shared" si="13"/>
        <v>0</v>
      </c>
      <c r="Z82" s="216"/>
      <c r="AD82" s="20" t="str">
        <f t="shared" si="7"/>
        <v>2012PROVEEDORES M.E.</v>
      </c>
      <c r="AE82" s="20" t="str">
        <f>+VLOOKUP(AD82,Catálogo!E:F,2,0)</f>
        <v>Proveedores y acreedores diversos</v>
      </c>
      <c r="AF82" s="20">
        <f>+VLOOKUP(AD82,Catálogo!E:G,3,0)</f>
        <v>0</v>
      </c>
    </row>
    <row r="83" spans="1:32">
      <c r="A83" s="14">
        <v>201</v>
      </c>
      <c r="B83" s="14">
        <v>200</v>
      </c>
      <c r="C83" s="15">
        <v>0</v>
      </c>
      <c r="D83" s="174" t="s">
        <v>80</v>
      </c>
      <c r="E83" s="13">
        <v>-173644.96</v>
      </c>
      <c r="F83" s="13">
        <v>1969851.25</v>
      </c>
      <c r="G83" s="13">
        <v>-1792090.29</v>
      </c>
      <c r="H83" s="13">
        <v>4116</v>
      </c>
      <c r="I83" s="224"/>
      <c r="J83" s="194">
        <f t="shared" si="8"/>
        <v>4</v>
      </c>
      <c r="K83" s="201" t="str">
        <f t="shared" si="9"/>
        <v>Pro</v>
      </c>
      <c r="L83" s="201" t="str">
        <f t="shared" si="10"/>
        <v>ok</v>
      </c>
      <c r="M83" s="202">
        <f t="shared" si="11"/>
        <v>4</v>
      </c>
      <c r="N83" s="180"/>
      <c r="O83" s="202">
        <f t="shared" si="12"/>
        <v>4</v>
      </c>
      <c r="P83" s="203"/>
      <c r="Q83" s="224"/>
      <c r="R83" s="14">
        <v>201</v>
      </c>
      <c r="S83" s="14">
        <v>200</v>
      </c>
      <c r="T83" s="15">
        <v>0</v>
      </c>
      <c r="U83" s="174" t="s">
        <v>80</v>
      </c>
      <c r="V83" s="17">
        <v>-173644.96</v>
      </c>
      <c r="W83" s="17">
        <v>1969851.25</v>
      </c>
      <c r="X83" s="17">
        <v>-1792090.29</v>
      </c>
      <c r="Y83" s="223">
        <f t="shared" si="13"/>
        <v>4</v>
      </c>
      <c r="Z83" s="216"/>
      <c r="AD83" s="20" t="str">
        <f t="shared" si="7"/>
        <v xml:space="preserve">201200PROVEEDORES COMPLEMENTARIA </v>
      </c>
      <c r="AE83" s="20" t="str">
        <f>+VLOOKUP(AD83,Catálogo!E:F,2,0)</f>
        <v>Proveedores y acreedores diversos</v>
      </c>
      <c r="AF83" s="20">
        <f>+VLOOKUP(AD83,Catálogo!E:G,3,0)</f>
        <v>0</v>
      </c>
    </row>
    <row r="84" spans="1:32">
      <c r="A84" s="6">
        <v>202</v>
      </c>
      <c r="B84" s="6">
        <v>0</v>
      </c>
      <c r="C84" s="7">
        <v>0</v>
      </c>
      <c r="D84" s="218" t="s">
        <v>81</v>
      </c>
      <c r="E84" s="22">
        <v>-2500000</v>
      </c>
      <c r="F84" s="22">
        <v>27316000</v>
      </c>
      <c r="G84" s="22">
        <v>-30539533</v>
      </c>
      <c r="H84" s="22">
        <v>-5723533</v>
      </c>
      <c r="I84" s="223"/>
      <c r="J84" s="194">
        <f t="shared" si="8"/>
        <v>-5724</v>
      </c>
      <c r="K84" s="201">
        <f t="shared" si="9"/>
        <v>0</v>
      </c>
      <c r="L84" s="201">
        <f t="shared" si="10"/>
        <v>0</v>
      </c>
      <c r="M84" s="202">
        <f t="shared" si="11"/>
        <v>0</v>
      </c>
      <c r="N84" s="180"/>
      <c r="O84" s="202">
        <f t="shared" si="12"/>
        <v>0</v>
      </c>
      <c r="P84" s="203"/>
      <c r="Q84" s="223"/>
      <c r="R84" s="6">
        <v>202</v>
      </c>
      <c r="S84" s="6">
        <v>0</v>
      </c>
      <c r="T84" s="7">
        <v>0</v>
      </c>
      <c r="U84" s="218" t="s">
        <v>81</v>
      </c>
      <c r="V84" s="22">
        <v>-2500000</v>
      </c>
      <c r="W84" s="22">
        <v>27316000</v>
      </c>
      <c r="X84" s="22">
        <v>-30539533</v>
      </c>
      <c r="Y84" s="223">
        <f t="shared" si="13"/>
        <v>0</v>
      </c>
      <c r="Z84" s="216"/>
      <c r="AD84" s="20" t="str">
        <f t="shared" si="7"/>
        <v>2020ACREEDORES DIVERSOS</v>
      </c>
      <c r="AE84" s="20" t="e">
        <f>+VLOOKUP(AD84,Catálogo!E:F,2,0)</f>
        <v>#N/A</v>
      </c>
      <c r="AF84" s="20">
        <f>+VLOOKUP(AD84,Catálogo!E:G,3,0)</f>
        <v>0</v>
      </c>
    </row>
    <row r="85" spans="1:32">
      <c r="A85" s="14">
        <v>202</v>
      </c>
      <c r="B85" s="14">
        <v>1</v>
      </c>
      <c r="C85" s="15">
        <v>0</v>
      </c>
      <c r="D85" s="174" t="s">
        <v>82</v>
      </c>
      <c r="E85" s="13">
        <v>-2500000</v>
      </c>
      <c r="F85" s="13">
        <v>27316000</v>
      </c>
      <c r="G85" s="13">
        <v>-30539533</v>
      </c>
      <c r="H85" s="13">
        <v>-5723533</v>
      </c>
      <c r="I85" s="224"/>
      <c r="J85" s="194">
        <f t="shared" si="8"/>
        <v>-5724</v>
      </c>
      <c r="K85" s="201" t="str">
        <f t="shared" si="9"/>
        <v>Pro</v>
      </c>
      <c r="L85" s="201" t="str">
        <f t="shared" si="10"/>
        <v>ok</v>
      </c>
      <c r="M85" s="202">
        <f t="shared" si="11"/>
        <v>-5724</v>
      </c>
      <c r="N85" s="180"/>
      <c r="O85" s="202">
        <f t="shared" si="12"/>
        <v>-5724</v>
      </c>
      <c r="P85" s="203"/>
      <c r="Q85" s="224"/>
      <c r="R85" s="14">
        <v>202</v>
      </c>
      <c r="S85" s="14">
        <v>1</v>
      </c>
      <c r="T85" s="15">
        <v>0</v>
      </c>
      <c r="U85" s="174" t="s">
        <v>82</v>
      </c>
      <c r="V85" s="17">
        <v>-2500000</v>
      </c>
      <c r="W85" s="17">
        <v>27316000</v>
      </c>
      <c r="X85" s="17">
        <v>-30539533</v>
      </c>
      <c r="Y85" s="223">
        <f t="shared" si="13"/>
        <v>-5724</v>
      </c>
      <c r="Z85" s="216"/>
      <c r="AD85" s="20" t="str">
        <f t="shared" si="7"/>
        <v>2021ACREEDORES M.N.</v>
      </c>
      <c r="AE85" s="20" t="str">
        <f>+VLOOKUP(AD85,Catálogo!E:F,2,0)</f>
        <v>Proveedores y acreedores diversos</v>
      </c>
      <c r="AF85" s="20">
        <f>+VLOOKUP(AD85,Catálogo!E:G,3,0)</f>
        <v>0</v>
      </c>
    </row>
    <row r="86" spans="1:32">
      <c r="A86" s="6">
        <v>218</v>
      </c>
      <c r="B86" s="6">
        <v>0</v>
      </c>
      <c r="C86" s="7">
        <v>0</v>
      </c>
      <c r="D86" s="218" t="s">
        <v>83</v>
      </c>
      <c r="E86" s="22">
        <v>-42707.23</v>
      </c>
      <c r="F86" s="22">
        <v>2129273.6</v>
      </c>
      <c r="G86" s="22">
        <v>-2476669</v>
      </c>
      <c r="H86" s="22">
        <v>-390102.63</v>
      </c>
      <c r="I86" s="223"/>
      <c r="J86" s="194">
        <f t="shared" si="8"/>
        <v>-390</v>
      </c>
      <c r="K86" s="201">
        <f t="shared" si="9"/>
        <v>0</v>
      </c>
      <c r="L86" s="201">
        <f t="shared" si="10"/>
        <v>0</v>
      </c>
      <c r="M86" s="202">
        <f t="shared" si="11"/>
        <v>0</v>
      </c>
      <c r="N86" s="180"/>
      <c r="O86" s="202">
        <f t="shared" si="12"/>
        <v>0</v>
      </c>
      <c r="P86" s="203"/>
      <c r="Q86" s="223"/>
      <c r="R86" s="6">
        <v>218</v>
      </c>
      <c r="S86" s="6">
        <v>0</v>
      </c>
      <c r="T86" s="7">
        <v>0</v>
      </c>
      <c r="U86" s="218" t="s">
        <v>83</v>
      </c>
      <c r="V86" s="22">
        <v>-42707.23</v>
      </c>
      <c r="W86" s="22">
        <v>2129273.6</v>
      </c>
      <c r="X86" s="22">
        <v>-2476669</v>
      </c>
      <c r="Y86" s="223">
        <f t="shared" si="13"/>
        <v>0</v>
      </c>
      <c r="Z86" s="216"/>
      <c r="AD86" s="20" t="str">
        <f t="shared" si="7"/>
        <v>2180IMPUESTOS POR PAGAR</v>
      </c>
      <c r="AE86" s="20" t="e">
        <f>+VLOOKUP(AD86,Catálogo!E:F,2,0)</f>
        <v>#N/A</v>
      </c>
      <c r="AF86" s="20">
        <f>+VLOOKUP(AD86,Catálogo!E:G,3,0)</f>
        <v>0</v>
      </c>
    </row>
    <row r="87" spans="1:32">
      <c r="A87" s="10">
        <v>218</v>
      </c>
      <c r="B87" s="10">
        <v>1</v>
      </c>
      <c r="C87" s="11">
        <v>0</v>
      </c>
      <c r="D87" s="219" t="s">
        <v>27</v>
      </c>
      <c r="E87" s="24">
        <v>-21438.63</v>
      </c>
      <c r="F87" s="24">
        <v>642011.18000000005</v>
      </c>
      <c r="G87" s="24">
        <v>-756372.16</v>
      </c>
      <c r="H87" s="24">
        <v>-135799.60999999999</v>
      </c>
      <c r="I87" s="224"/>
      <c r="J87" s="194">
        <f t="shared" si="8"/>
        <v>-136</v>
      </c>
      <c r="K87" s="201">
        <f t="shared" si="9"/>
        <v>0</v>
      </c>
      <c r="L87" s="201">
        <f t="shared" si="10"/>
        <v>0</v>
      </c>
      <c r="M87" s="202">
        <f t="shared" si="11"/>
        <v>0</v>
      </c>
      <c r="N87" s="180"/>
      <c r="O87" s="202">
        <f t="shared" si="12"/>
        <v>0</v>
      </c>
      <c r="P87" s="203"/>
      <c r="Q87" s="224"/>
      <c r="R87" s="10">
        <v>218</v>
      </c>
      <c r="S87" s="10">
        <v>1</v>
      </c>
      <c r="T87" s="11">
        <v>0</v>
      </c>
      <c r="U87" s="219" t="s">
        <v>27</v>
      </c>
      <c r="V87" s="23">
        <v>-21438.63</v>
      </c>
      <c r="W87" s="23">
        <v>642011.18000000005</v>
      </c>
      <c r="X87" s="23">
        <v>-756372.16</v>
      </c>
      <c r="Y87" s="223">
        <f t="shared" si="13"/>
        <v>0</v>
      </c>
      <c r="Z87" s="216"/>
      <c r="AD87" s="20" t="str">
        <f t="shared" si="7"/>
        <v>2181ISR</v>
      </c>
      <c r="AE87" s="20" t="e">
        <f>+VLOOKUP(AD87,Catálogo!E:F,2,0)</f>
        <v>#N/A</v>
      </c>
      <c r="AF87" s="20">
        <f>+VLOOKUP(AD87,Catálogo!E:G,3,0)</f>
        <v>0</v>
      </c>
    </row>
    <row r="88" spans="1:32">
      <c r="A88" s="14">
        <v>218</v>
      </c>
      <c r="B88" s="14">
        <v>1</v>
      </c>
      <c r="C88" s="15">
        <v>3</v>
      </c>
      <c r="D88" s="174" t="s">
        <v>84</v>
      </c>
      <c r="E88" s="13">
        <v>-21438.63</v>
      </c>
      <c r="F88" s="13">
        <v>346584.18</v>
      </c>
      <c r="G88" s="13">
        <v>-411287.98</v>
      </c>
      <c r="H88" s="13">
        <v>-86142.43</v>
      </c>
      <c r="I88" s="224"/>
      <c r="J88" s="194">
        <f t="shared" si="8"/>
        <v>-86</v>
      </c>
      <c r="K88" s="201" t="str">
        <f t="shared" si="9"/>
        <v>Imp</v>
      </c>
      <c r="L88" s="201" t="str">
        <f t="shared" si="10"/>
        <v>ok</v>
      </c>
      <c r="M88" s="202">
        <f t="shared" si="11"/>
        <v>-86</v>
      </c>
      <c r="N88" s="180"/>
      <c r="O88" s="202">
        <f t="shared" si="12"/>
        <v>-86</v>
      </c>
      <c r="P88" s="203"/>
      <c r="Q88" s="224"/>
      <c r="R88" s="14">
        <v>218</v>
      </c>
      <c r="S88" s="14">
        <v>1</v>
      </c>
      <c r="T88" s="15">
        <v>3</v>
      </c>
      <c r="U88" s="174" t="s">
        <v>84</v>
      </c>
      <c r="V88" s="17">
        <v>-21438.63</v>
      </c>
      <c r="W88" s="17">
        <v>346584.18</v>
      </c>
      <c r="X88" s="17">
        <v>-411287.98</v>
      </c>
      <c r="Y88" s="223">
        <f t="shared" si="13"/>
        <v>-86</v>
      </c>
      <c r="Z88" s="216"/>
      <c r="AD88" s="20" t="str">
        <f t="shared" si="7"/>
        <v>2181ISR RETENCIONES SERVICIOS PROFESIONALES</v>
      </c>
      <c r="AE88" s="20" t="str">
        <f>+VLOOKUP(AD88,Catálogo!E:F,2,0)</f>
        <v>Impuestos por pagar</v>
      </c>
      <c r="AF88" s="20">
        <f>+VLOOKUP(AD88,Catálogo!E:G,3,0)</f>
        <v>0</v>
      </c>
    </row>
    <row r="89" spans="1:32">
      <c r="A89" s="14">
        <v>218</v>
      </c>
      <c r="B89" s="14">
        <v>1</v>
      </c>
      <c r="C89" s="15">
        <v>8</v>
      </c>
      <c r="D89" s="174" t="s">
        <v>85</v>
      </c>
      <c r="E89" s="13">
        <v>0</v>
      </c>
      <c r="F89" s="13">
        <v>295427</v>
      </c>
      <c r="G89" s="13">
        <v>-345084.18</v>
      </c>
      <c r="H89" s="13">
        <v>-49657.18</v>
      </c>
      <c r="I89" s="224"/>
      <c r="J89" s="194">
        <f t="shared" si="8"/>
        <v>-50</v>
      </c>
      <c r="K89" s="201" t="str">
        <f t="shared" si="9"/>
        <v>Imp</v>
      </c>
      <c r="L89" s="201" t="str">
        <f t="shared" si="10"/>
        <v>ok</v>
      </c>
      <c r="M89" s="202">
        <f t="shared" si="11"/>
        <v>-50</v>
      </c>
      <c r="N89" s="180"/>
      <c r="O89" s="202">
        <f t="shared" si="12"/>
        <v>-50</v>
      </c>
      <c r="P89" s="203"/>
      <c r="Q89" s="224"/>
      <c r="R89" s="14">
        <v>218</v>
      </c>
      <c r="S89" s="14">
        <v>1</v>
      </c>
      <c r="T89" s="15">
        <v>8</v>
      </c>
      <c r="U89" s="174" t="s">
        <v>85</v>
      </c>
      <c r="V89" s="17">
        <v>0</v>
      </c>
      <c r="W89" s="17">
        <v>295427</v>
      </c>
      <c r="X89" s="17">
        <v>-345084.18</v>
      </c>
      <c r="Y89" s="223">
        <f t="shared" si="13"/>
        <v>-50</v>
      </c>
      <c r="Z89" s="216"/>
      <c r="AD89" s="20" t="str">
        <f t="shared" si="7"/>
        <v>2181ISR RETENCIONES EFECTIVAMENTE PAGADO</v>
      </c>
      <c r="AE89" s="20" t="str">
        <f>+VLOOKUP(AD89,Catálogo!E:F,2,0)</f>
        <v>Impuestos por pagar</v>
      </c>
      <c r="AF89" s="20">
        <f>+VLOOKUP(AD89,Catálogo!E:G,3,0)</f>
        <v>0</v>
      </c>
    </row>
    <row r="90" spans="1:32">
      <c r="A90" s="10">
        <v>218</v>
      </c>
      <c r="B90" s="10">
        <v>2</v>
      </c>
      <c r="C90" s="11">
        <v>0</v>
      </c>
      <c r="D90" s="219" t="s">
        <v>29</v>
      </c>
      <c r="E90" s="24">
        <v>-21268.6</v>
      </c>
      <c r="F90" s="24">
        <v>1487262.42</v>
      </c>
      <c r="G90" s="24">
        <v>-1720296.84</v>
      </c>
      <c r="H90" s="24">
        <v>-254303.02</v>
      </c>
      <c r="I90" s="224"/>
      <c r="J90" s="194">
        <f t="shared" si="8"/>
        <v>-254</v>
      </c>
      <c r="K90" s="201">
        <f t="shared" si="9"/>
        <v>0</v>
      </c>
      <c r="L90" s="201">
        <f t="shared" si="10"/>
        <v>0</v>
      </c>
      <c r="M90" s="202">
        <f t="shared" si="11"/>
        <v>0</v>
      </c>
      <c r="N90" s="180"/>
      <c r="O90" s="202">
        <f t="shared" si="12"/>
        <v>0</v>
      </c>
      <c r="P90" s="203"/>
      <c r="Q90" s="224"/>
      <c r="R90" s="10">
        <v>218</v>
      </c>
      <c r="S90" s="10">
        <v>2</v>
      </c>
      <c r="T90" s="11">
        <v>0</v>
      </c>
      <c r="U90" s="219" t="s">
        <v>29</v>
      </c>
      <c r="V90" s="23">
        <v>-21268.6</v>
      </c>
      <c r="W90" s="23">
        <v>1487262.42</v>
      </c>
      <c r="X90" s="23">
        <v>-1720296.84</v>
      </c>
      <c r="Y90" s="223">
        <f t="shared" si="13"/>
        <v>0</v>
      </c>
      <c r="Z90" s="216"/>
      <c r="AD90" s="20" t="str">
        <f t="shared" si="7"/>
        <v>2182IVA</v>
      </c>
      <c r="AE90" s="20" t="e">
        <f>+VLOOKUP(AD90,Catálogo!E:F,2,0)</f>
        <v>#N/A</v>
      </c>
      <c r="AF90" s="20">
        <f>+VLOOKUP(AD90,Catálogo!E:G,3,0)</f>
        <v>0</v>
      </c>
    </row>
    <row r="91" spans="1:32">
      <c r="A91" s="14">
        <v>218</v>
      </c>
      <c r="B91" s="14">
        <v>2</v>
      </c>
      <c r="C91" s="15">
        <v>1</v>
      </c>
      <c r="D91" s="174" t="s">
        <v>86</v>
      </c>
      <c r="E91" s="13">
        <v>0</v>
      </c>
      <c r="F91" s="13">
        <v>392940.62</v>
      </c>
      <c r="G91" s="13">
        <v>-392940.62</v>
      </c>
      <c r="H91" s="13">
        <v>0</v>
      </c>
      <c r="I91" s="224"/>
      <c r="J91" s="194">
        <f t="shared" si="8"/>
        <v>0</v>
      </c>
      <c r="K91" s="201" t="str">
        <f t="shared" si="9"/>
        <v>Imp</v>
      </c>
      <c r="L91" s="201" t="str">
        <f t="shared" si="10"/>
        <v>ok</v>
      </c>
      <c r="M91" s="202">
        <f t="shared" si="11"/>
        <v>0</v>
      </c>
      <c r="N91" s="180"/>
      <c r="O91" s="202">
        <f t="shared" si="12"/>
        <v>0</v>
      </c>
      <c r="P91" s="203"/>
      <c r="Q91" s="224"/>
      <c r="R91" s="14">
        <v>218</v>
      </c>
      <c r="S91" s="14">
        <v>2</v>
      </c>
      <c r="T91" s="15">
        <v>1</v>
      </c>
      <c r="U91" s="174" t="s">
        <v>86</v>
      </c>
      <c r="V91" s="17">
        <v>0</v>
      </c>
      <c r="W91" s="17">
        <v>392940.62</v>
      </c>
      <c r="X91" s="17">
        <v>-392940.62</v>
      </c>
      <c r="Y91" s="223">
        <f t="shared" si="13"/>
        <v>0</v>
      </c>
      <c r="Z91" s="216"/>
      <c r="AD91" s="20" t="str">
        <f t="shared" si="7"/>
        <v>2182IVA POR PAGAR 16%</v>
      </c>
      <c r="AE91" s="20" t="str">
        <f>+VLOOKUP(AD91,Catálogo!E:F,2,0)</f>
        <v>Impuestos por pagar</v>
      </c>
      <c r="AF91" s="20">
        <f>+VLOOKUP(AD91,Catálogo!E:G,3,0)</f>
        <v>0</v>
      </c>
    </row>
    <row r="92" spans="1:32">
      <c r="A92" s="14">
        <v>218</v>
      </c>
      <c r="B92" s="14">
        <v>2</v>
      </c>
      <c r="C92" s="15">
        <v>2</v>
      </c>
      <c r="D92" s="174" t="s">
        <v>87</v>
      </c>
      <c r="E92" s="13">
        <v>-21269.31</v>
      </c>
      <c r="F92" s="13">
        <v>609702.80000000005</v>
      </c>
      <c r="G92" s="13">
        <v>-717653.42</v>
      </c>
      <c r="H92" s="13">
        <v>-129219.93</v>
      </c>
      <c r="I92" s="224"/>
      <c r="J92" s="194">
        <f t="shared" si="8"/>
        <v>-129</v>
      </c>
      <c r="K92" s="201" t="str">
        <f t="shared" si="9"/>
        <v>Imp</v>
      </c>
      <c r="L92" s="201" t="str">
        <f t="shared" si="10"/>
        <v>ok</v>
      </c>
      <c r="M92" s="202">
        <f t="shared" si="11"/>
        <v>-129</v>
      </c>
      <c r="N92" s="180"/>
      <c r="O92" s="202">
        <f t="shared" si="12"/>
        <v>-129</v>
      </c>
      <c r="P92" s="203"/>
      <c r="Q92" s="224"/>
      <c r="R92" s="14">
        <v>218</v>
      </c>
      <c r="S92" s="14">
        <v>2</v>
      </c>
      <c r="T92" s="15">
        <v>2</v>
      </c>
      <c r="U92" s="174" t="s">
        <v>87</v>
      </c>
      <c r="V92" s="17">
        <v>-21269.31</v>
      </c>
      <c r="W92" s="17">
        <v>609702.80000000005</v>
      </c>
      <c r="X92" s="17">
        <v>-717653.42</v>
      </c>
      <c r="Y92" s="223">
        <f t="shared" si="13"/>
        <v>-129</v>
      </c>
      <c r="Z92" s="216"/>
      <c r="AD92" s="20" t="str">
        <f t="shared" si="7"/>
        <v>2182IVA RETENIDO SERVICIOS PROFESIONALES</v>
      </c>
      <c r="AE92" s="20" t="str">
        <f>+VLOOKUP(AD92,Catálogo!E:F,2,0)</f>
        <v>Impuestos por pagar</v>
      </c>
      <c r="AF92" s="20">
        <f>+VLOOKUP(AD92,Catálogo!E:G,3,0)</f>
        <v>0</v>
      </c>
    </row>
    <row r="93" spans="1:32">
      <c r="A93" s="14">
        <v>218</v>
      </c>
      <c r="B93" s="14">
        <v>2</v>
      </c>
      <c r="C93" s="15">
        <v>3</v>
      </c>
      <c r="D93" s="174" t="s">
        <v>88</v>
      </c>
      <c r="E93" s="13">
        <v>0.71</v>
      </c>
      <c r="F93" s="13">
        <v>484619</v>
      </c>
      <c r="G93" s="13">
        <v>-609702.80000000005</v>
      </c>
      <c r="H93" s="13">
        <v>-125083.09</v>
      </c>
      <c r="I93" s="224"/>
      <c r="J93" s="194">
        <f t="shared" si="8"/>
        <v>-125</v>
      </c>
      <c r="K93" s="201" t="str">
        <f t="shared" si="9"/>
        <v>Imp</v>
      </c>
      <c r="L93" s="201" t="str">
        <f t="shared" si="10"/>
        <v>ok</v>
      </c>
      <c r="M93" s="202">
        <f t="shared" si="11"/>
        <v>-125</v>
      </c>
      <c r="N93" s="180"/>
      <c r="O93" s="202">
        <f t="shared" si="12"/>
        <v>-125</v>
      </c>
      <c r="P93" s="203"/>
      <c r="Q93" s="224"/>
      <c r="R93" s="14">
        <v>218</v>
      </c>
      <c r="S93" s="14">
        <v>2</v>
      </c>
      <c r="T93" s="15">
        <v>3</v>
      </c>
      <c r="U93" s="174" t="s">
        <v>88</v>
      </c>
      <c r="V93" s="17">
        <v>0.71</v>
      </c>
      <c r="W93" s="17">
        <v>484619</v>
      </c>
      <c r="X93" s="17">
        <v>-609702.80000000005</v>
      </c>
      <c r="Y93" s="223">
        <f t="shared" si="13"/>
        <v>-125</v>
      </c>
      <c r="Z93" s="216"/>
      <c r="AD93" s="20" t="str">
        <f t="shared" si="7"/>
        <v>2182IVA RETENIDO EFECTIVAMENTE PAGADO</v>
      </c>
      <c r="AE93" s="20" t="str">
        <f>+VLOOKUP(AD93,Catálogo!E:F,2,0)</f>
        <v>Impuestos por pagar</v>
      </c>
      <c r="AF93" s="20">
        <f>+VLOOKUP(AD93,Catálogo!E:G,3,0)</f>
        <v>0</v>
      </c>
    </row>
    <row r="94" spans="1:32">
      <c r="A94" s="6">
        <v>219</v>
      </c>
      <c r="B94" s="6">
        <v>0</v>
      </c>
      <c r="C94" s="7">
        <v>0</v>
      </c>
      <c r="D94" s="218" t="s">
        <v>89</v>
      </c>
      <c r="E94" s="22">
        <v>0</v>
      </c>
      <c r="F94" s="22">
        <v>392940.62</v>
      </c>
      <c r="G94" s="22">
        <v>-392940.62</v>
      </c>
      <c r="H94" s="22">
        <v>0</v>
      </c>
      <c r="I94" s="223"/>
      <c r="J94" s="194">
        <f t="shared" si="8"/>
        <v>0</v>
      </c>
      <c r="K94" s="201">
        <f t="shared" si="9"/>
        <v>0</v>
      </c>
      <c r="L94" s="201">
        <f t="shared" si="10"/>
        <v>0</v>
      </c>
      <c r="M94" s="202">
        <f t="shared" si="11"/>
        <v>0</v>
      </c>
      <c r="N94" s="180"/>
      <c r="O94" s="202">
        <f t="shared" si="12"/>
        <v>0</v>
      </c>
      <c r="P94" s="203"/>
      <c r="Q94" s="223"/>
      <c r="R94" s="6">
        <v>219</v>
      </c>
      <c r="S94" s="6">
        <v>0</v>
      </c>
      <c r="T94" s="7">
        <v>0</v>
      </c>
      <c r="U94" s="218" t="s">
        <v>89</v>
      </c>
      <c r="V94" s="22">
        <v>0</v>
      </c>
      <c r="W94" s="22">
        <v>392940.62</v>
      </c>
      <c r="X94" s="22">
        <v>-392940.62</v>
      </c>
      <c r="Y94" s="223">
        <f t="shared" si="13"/>
        <v>0</v>
      </c>
      <c r="Z94" s="216"/>
      <c r="AD94" s="20" t="str">
        <f t="shared" si="7"/>
        <v>2190IMPUESTOS NO CAUSADOS</v>
      </c>
      <c r="AE94" s="20" t="e">
        <f>+VLOOKUP(AD94,Catálogo!E:F,2,0)</f>
        <v>#N/A</v>
      </c>
      <c r="AF94" s="20">
        <f>+VLOOKUP(AD94,Catálogo!E:G,3,0)</f>
        <v>0</v>
      </c>
    </row>
    <row r="95" spans="1:32">
      <c r="A95" s="14">
        <v>219</v>
      </c>
      <c r="B95" s="14">
        <v>1</v>
      </c>
      <c r="C95" s="15">
        <v>0</v>
      </c>
      <c r="D95" s="174" t="s">
        <v>90</v>
      </c>
      <c r="E95" s="13">
        <v>0</v>
      </c>
      <c r="F95" s="13">
        <v>392940.62</v>
      </c>
      <c r="G95" s="13">
        <v>-392940.62</v>
      </c>
      <c r="H95" s="13">
        <v>0</v>
      </c>
      <c r="I95" s="224"/>
      <c r="J95" s="194">
        <f t="shared" si="8"/>
        <v>0</v>
      </c>
      <c r="K95" s="201" t="str">
        <f t="shared" si="9"/>
        <v>Pro</v>
      </c>
      <c r="L95" s="201" t="str">
        <f t="shared" si="10"/>
        <v>ok</v>
      </c>
      <c r="M95" s="202">
        <f t="shared" si="11"/>
        <v>0</v>
      </c>
      <c r="N95" s="180"/>
      <c r="O95" s="202">
        <f t="shared" si="12"/>
        <v>0</v>
      </c>
      <c r="P95" s="203"/>
      <c r="Q95" s="224"/>
      <c r="R95" s="14">
        <v>219</v>
      </c>
      <c r="S95" s="14">
        <v>1</v>
      </c>
      <c r="T95" s="15">
        <v>0</v>
      </c>
      <c r="U95" s="174" t="s">
        <v>90</v>
      </c>
      <c r="V95" s="17">
        <v>0</v>
      </c>
      <c r="W95" s="17">
        <v>392940.62</v>
      </c>
      <c r="X95" s="17">
        <v>-392940.62</v>
      </c>
      <c r="Y95" s="223">
        <f t="shared" si="13"/>
        <v>0</v>
      </c>
      <c r="Z95" s="216"/>
      <c r="AD95" s="20" t="str">
        <f t="shared" si="7"/>
        <v>2191IVA TRASLADADO NO COBRADO</v>
      </c>
      <c r="AE95" s="20" t="str">
        <f>+VLOOKUP(AD95,Catálogo!E:F,2,0)</f>
        <v>Proveedores y acreedores diversos</v>
      </c>
      <c r="AF95" s="20">
        <f>+VLOOKUP(AD95,Catálogo!E:G,3,0)</f>
        <v>0</v>
      </c>
    </row>
    <row r="96" spans="1:32">
      <c r="A96" s="14">
        <v>219</v>
      </c>
      <c r="B96" s="14">
        <v>1</v>
      </c>
      <c r="C96" s="15">
        <v>1</v>
      </c>
      <c r="D96" s="174" t="s">
        <v>91</v>
      </c>
      <c r="E96" s="13">
        <v>0</v>
      </c>
      <c r="F96" s="13">
        <v>392940.62</v>
      </c>
      <c r="G96" s="13">
        <v>-392940.62</v>
      </c>
      <c r="H96" s="13">
        <v>0</v>
      </c>
      <c r="I96" s="224"/>
      <c r="J96" s="194">
        <f t="shared" si="8"/>
        <v>0</v>
      </c>
      <c r="K96" s="201" t="str">
        <f t="shared" si="9"/>
        <v>Pro</v>
      </c>
      <c r="L96" s="201" t="str">
        <f t="shared" si="10"/>
        <v>ok</v>
      </c>
      <c r="M96" s="202">
        <f t="shared" si="11"/>
        <v>0</v>
      </c>
      <c r="N96" s="180"/>
      <c r="O96" s="202">
        <f t="shared" si="12"/>
        <v>0</v>
      </c>
      <c r="P96" s="203"/>
      <c r="Q96" s="224"/>
      <c r="R96" s="14">
        <v>219</v>
      </c>
      <c r="S96" s="14">
        <v>1</v>
      </c>
      <c r="T96" s="15">
        <v>1</v>
      </c>
      <c r="U96" s="174" t="s">
        <v>91</v>
      </c>
      <c r="V96" s="17">
        <v>0</v>
      </c>
      <c r="W96" s="17">
        <v>392940.62</v>
      </c>
      <c r="X96" s="17">
        <v>-392940.62</v>
      </c>
      <c r="Y96" s="223">
        <f t="shared" si="13"/>
        <v>0</v>
      </c>
      <c r="Z96" s="216"/>
      <c r="AD96" s="20" t="str">
        <f t="shared" si="7"/>
        <v>2191IVA TRASLADADO NO COBRADO AL 16%</v>
      </c>
      <c r="AE96" s="20" t="str">
        <f>+VLOOKUP(AD96,Catálogo!E:F,2,0)</f>
        <v>Proveedores y acreedores diversos</v>
      </c>
      <c r="AF96" s="20">
        <f>+VLOOKUP(AD96,Catálogo!E:G,3,0)</f>
        <v>0</v>
      </c>
    </row>
    <row r="97" spans="1:32">
      <c r="A97" s="6">
        <v>223</v>
      </c>
      <c r="B97" s="6">
        <v>0</v>
      </c>
      <c r="C97" s="7">
        <v>0</v>
      </c>
      <c r="D97" s="218" t="s">
        <v>92</v>
      </c>
      <c r="E97" s="22">
        <v>-320693202.95999998</v>
      </c>
      <c r="F97" s="22">
        <v>167457885.59</v>
      </c>
      <c r="G97" s="22">
        <v>-314483520.47000003</v>
      </c>
      <c r="H97" s="22">
        <v>-467718837.83999997</v>
      </c>
      <c r="I97" s="223"/>
      <c r="J97" s="194">
        <f t="shared" si="8"/>
        <v>-467719</v>
      </c>
      <c r="K97" s="201">
        <f t="shared" si="9"/>
        <v>0</v>
      </c>
      <c r="L97" s="201">
        <f t="shared" si="10"/>
        <v>0</v>
      </c>
      <c r="M97" s="202">
        <f t="shared" si="11"/>
        <v>0</v>
      </c>
      <c r="N97" s="180"/>
      <c r="O97" s="202">
        <f t="shared" si="12"/>
        <v>0</v>
      </c>
      <c r="P97" s="203"/>
      <c r="Q97" s="223"/>
      <c r="R97" s="6">
        <v>223</v>
      </c>
      <c r="S97" s="6">
        <v>0</v>
      </c>
      <c r="T97" s="7">
        <v>0</v>
      </c>
      <c r="U97" s="218" t="s">
        <v>92</v>
      </c>
      <c r="V97" s="22">
        <v>-320693202.95999998</v>
      </c>
      <c r="W97" s="22">
        <v>167457885.59</v>
      </c>
      <c r="X97" s="22">
        <v>-314483520.47000003</v>
      </c>
      <c r="Y97" s="223">
        <f t="shared" si="13"/>
        <v>0</v>
      </c>
      <c r="Z97" s="216"/>
      <c r="AD97" s="20" t="str">
        <f t="shared" si="7"/>
        <v>2230DOCUMENTOS POR PAGAR L.P.</v>
      </c>
      <c r="AE97" s="20" t="e">
        <f>+VLOOKUP(AD97,Catálogo!E:F,2,0)</f>
        <v>#N/A</v>
      </c>
      <c r="AF97" s="20">
        <f>+VLOOKUP(AD97,Catálogo!E:G,3,0)</f>
        <v>0</v>
      </c>
    </row>
    <row r="98" spans="1:32">
      <c r="A98" s="10">
        <v>223</v>
      </c>
      <c r="B98" s="10">
        <v>1</v>
      </c>
      <c r="C98" s="11">
        <v>0</v>
      </c>
      <c r="D98" s="219" t="s">
        <v>9</v>
      </c>
      <c r="E98" s="24">
        <v>-320693202.95999998</v>
      </c>
      <c r="F98" s="24">
        <v>167457885.59</v>
      </c>
      <c r="G98" s="24">
        <v>-314483520.47000003</v>
      </c>
      <c r="H98" s="24">
        <v>-467718837.83999997</v>
      </c>
      <c r="I98" s="224"/>
      <c r="J98" s="194">
        <f t="shared" si="8"/>
        <v>-467719</v>
      </c>
      <c r="K98" s="201">
        <f t="shared" si="9"/>
        <v>0</v>
      </c>
      <c r="L98" s="201">
        <f t="shared" si="10"/>
        <v>0</v>
      </c>
      <c r="M98" s="202">
        <f t="shared" si="11"/>
        <v>0</v>
      </c>
      <c r="N98" s="180"/>
      <c r="O98" s="202">
        <f t="shared" si="12"/>
        <v>0</v>
      </c>
      <c r="P98" s="203"/>
      <c r="Q98" s="224"/>
      <c r="R98" s="10">
        <v>223</v>
      </c>
      <c r="S98" s="10">
        <v>1</v>
      </c>
      <c r="T98" s="11">
        <v>0</v>
      </c>
      <c r="U98" s="219" t="s">
        <v>9</v>
      </c>
      <c r="V98" s="23">
        <v>-320693202.95999998</v>
      </c>
      <c r="W98" s="23">
        <v>167457885.59</v>
      </c>
      <c r="X98" s="23">
        <v>-314483520.47000003</v>
      </c>
      <c r="Y98" s="223">
        <f t="shared" si="13"/>
        <v>0</v>
      </c>
      <c r="Z98" s="216"/>
      <c r="AD98" s="20" t="str">
        <f t="shared" si="7"/>
        <v>2231MONEDA NACIONAL</v>
      </c>
      <c r="AE98" s="20" t="e">
        <f>+VLOOKUP(AD98,Catálogo!E:F,2,0)</f>
        <v>#N/A</v>
      </c>
      <c r="AF98" s="20">
        <f>+VLOOKUP(AD98,Catálogo!E:G,3,0)</f>
        <v>0</v>
      </c>
    </row>
    <row r="99" spans="1:32">
      <c r="A99" s="14">
        <v>223</v>
      </c>
      <c r="B99" s="14">
        <v>1</v>
      </c>
      <c r="C99" s="15">
        <v>1</v>
      </c>
      <c r="D99" s="174" t="s">
        <v>93</v>
      </c>
      <c r="E99" s="13">
        <v>-320693202.95999998</v>
      </c>
      <c r="F99" s="13">
        <v>167457885.59</v>
      </c>
      <c r="G99" s="13">
        <v>-43483520.469999999</v>
      </c>
      <c r="H99" s="13">
        <v>-196718837.84</v>
      </c>
      <c r="I99" s="224"/>
      <c r="J99" s="194">
        <f t="shared" si="8"/>
        <v>-196719</v>
      </c>
      <c r="K99" s="201" t="str">
        <f t="shared" si="9"/>
        <v>Otr</v>
      </c>
      <c r="L99" s="201" t="str">
        <f t="shared" si="10"/>
        <v>ok</v>
      </c>
      <c r="M99" s="202">
        <f t="shared" si="11"/>
        <v>-196719</v>
      </c>
      <c r="N99" s="180"/>
      <c r="O99" s="202">
        <f t="shared" si="12"/>
        <v>-196719</v>
      </c>
      <c r="P99" s="203"/>
      <c r="Q99" s="224"/>
      <c r="R99" s="14">
        <v>223</v>
      </c>
      <c r="S99" s="14">
        <v>1</v>
      </c>
      <c r="T99" s="15">
        <v>1</v>
      </c>
      <c r="U99" s="174" t="s">
        <v>93</v>
      </c>
      <c r="V99" s="17">
        <v>-320693202.95999998</v>
      </c>
      <c r="W99" s="17">
        <v>167457885.59</v>
      </c>
      <c r="X99" s="17">
        <v>-43483520.469999999</v>
      </c>
      <c r="Y99" s="223">
        <f t="shared" si="13"/>
        <v>-196719</v>
      </c>
      <c r="Z99" s="216"/>
      <c r="AD99" s="20" t="str">
        <f t="shared" si="7"/>
        <v>2231FIDEICOMISO IRREVOCABLE NUMERO 3518</v>
      </c>
      <c r="AE99" s="20" t="str">
        <f>+VLOOKUP(AD99,Catálogo!E:F,2,0)</f>
        <v>Otras aportaciones del fideicomitente</v>
      </c>
      <c r="AF99" s="20" t="str">
        <f>+VLOOKUP(AD99,Catálogo!E:G,3,0)</f>
        <v>Otras aportaciones del fideicomitente</v>
      </c>
    </row>
    <row r="100" spans="1:32">
      <c r="A100" s="14">
        <v>223</v>
      </c>
      <c r="B100" s="14">
        <v>1</v>
      </c>
      <c r="C100" s="15">
        <v>2</v>
      </c>
      <c r="D100" s="174" t="s">
        <v>94</v>
      </c>
      <c r="E100" s="13">
        <v>0</v>
      </c>
      <c r="F100" s="13">
        <v>0</v>
      </c>
      <c r="G100" s="13">
        <v>-271000000</v>
      </c>
      <c r="H100" s="13">
        <v>-271000000</v>
      </c>
      <c r="I100" s="224"/>
      <c r="J100" s="194">
        <f t="shared" si="8"/>
        <v>-271000</v>
      </c>
      <c r="K100" s="201" t="str">
        <f t="shared" si="9"/>
        <v>Pré</v>
      </c>
      <c r="L100" s="201" t="str">
        <f t="shared" si="10"/>
        <v>ok</v>
      </c>
      <c r="M100" s="202">
        <f t="shared" si="11"/>
        <v>-271000</v>
      </c>
      <c r="N100" s="180"/>
      <c r="O100" s="202">
        <f t="shared" si="12"/>
        <v>-271000</v>
      </c>
      <c r="P100" s="203"/>
      <c r="Q100" s="224"/>
      <c r="R100" s="14">
        <v>223</v>
      </c>
      <c r="S100" s="14">
        <v>1</v>
      </c>
      <c r="T100" s="15">
        <v>2</v>
      </c>
      <c r="U100" s="174" t="s">
        <v>94</v>
      </c>
      <c r="V100" s="17">
        <v>0</v>
      </c>
      <c r="W100" s="17">
        <v>0</v>
      </c>
      <c r="X100" s="17">
        <v>-271000000</v>
      </c>
      <c r="Y100" s="223">
        <f t="shared" si="13"/>
        <v>-271000</v>
      </c>
      <c r="Z100" s="216"/>
      <c r="AD100" s="20" t="str">
        <f t="shared" si="7"/>
        <v>2231NXX CAPITAL MEZZI, SAPI DE CV SOFOM EN R</v>
      </c>
      <c r="AE100" s="20" t="str">
        <f>+VLOOKUP(AD100,Catálogo!E:F,2,0)</f>
        <v xml:space="preserve">Préstamos a largo plazo  </v>
      </c>
      <c r="AF100" s="20" t="str">
        <f>+VLOOKUP(AD100,Catálogo!E:G,3,0)</f>
        <v>Principal del crédito</v>
      </c>
    </row>
    <row r="101" spans="1:32">
      <c r="A101" s="6">
        <v>224</v>
      </c>
      <c r="B101" s="6">
        <v>0</v>
      </c>
      <c r="C101" s="7">
        <v>0</v>
      </c>
      <c r="D101" s="218" t="s">
        <v>75</v>
      </c>
      <c r="E101" s="22">
        <v>0</v>
      </c>
      <c r="F101" s="22">
        <v>200000</v>
      </c>
      <c r="G101" s="22">
        <v>-71245204.890000001</v>
      </c>
      <c r="H101" s="22">
        <v>-71045204.890000001</v>
      </c>
      <c r="I101" s="223"/>
      <c r="J101" s="194">
        <f t="shared" si="8"/>
        <v>-71045</v>
      </c>
      <c r="K101" s="201">
        <f t="shared" si="9"/>
        <v>0</v>
      </c>
      <c r="L101" s="201">
        <f t="shared" si="10"/>
        <v>0</v>
      </c>
      <c r="M101" s="202">
        <f t="shared" si="11"/>
        <v>0</v>
      </c>
      <c r="N101" s="180"/>
      <c r="O101" s="202">
        <f t="shared" si="12"/>
        <v>0</v>
      </c>
      <c r="P101" s="203"/>
      <c r="Q101" s="223"/>
      <c r="R101" s="6">
        <v>224</v>
      </c>
      <c r="S101" s="6">
        <v>0</v>
      </c>
      <c r="T101" s="7">
        <v>0</v>
      </c>
      <c r="U101" s="218" t="s">
        <v>75</v>
      </c>
      <c r="V101" s="22">
        <v>0</v>
      </c>
      <c r="W101" s="22">
        <v>200000</v>
      </c>
      <c r="X101" s="22">
        <v>-71245204.890000001</v>
      </c>
      <c r="Y101" s="223">
        <f t="shared" si="13"/>
        <v>0</v>
      </c>
      <c r="Z101" s="216"/>
      <c r="AD101" s="20" t="str">
        <f t="shared" si="7"/>
        <v>2240DEPOSITOS EN GARANTIA</v>
      </c>
      <c r="AE101" s="20" t="e">
        <f>+VLOOKUP(AD101,Catálogo!E:F,2,0)</f>
        <v>#N/A</v>
      </c>
      <c r="AF101" s="20">
        <f>+VLOOKUP(AD101,Catálogo!E:G,3,0)</f>
        <v>0</v>
      </c>
    </row>
    <row r="102" spans="1:32">
      <c r="A102" s="14">
        <v>224</v>
      </c>
      <c r="B102" s="14">
        <v>1</v>
      </c>
      <c r="C102" s="15">
        <v>0</v>
      </c>
      <c r="D102" s="174" t="s">
        <v>76</v>
      </c>
      <c r="E102" s="13">
        <v>0</v>
      </c>
      <c r="F102" s="13">
        <v>200000</v>
      </c>
      <c r="G102" s="13">
        <v>-71245204.890000001</v>
      </c>
      <c r="H102" s="13">
        <v>-71045204.890000001</v>
      </c>
      <c r="I102" s="224"/>
      <c r="J102" s="194">
        <f t="shared" si="8"/>
        <v>-71045</v>
      </c>
      <c r="K102" s="201" t="str">
        <f t="shared" si="9"/>
        <v>Dep</v>
      </c>
      <c r="L102" s="201" t="str">
        <f t="shared" si="10"/>
        <v>ok</v>
      </c>
      <c r="M102" s="202">
        <f t="shared" si="11"/>
        <v>-71045</v>
      </c>
      <c r="N102" s="180"/>
      <c r="O102" s="202">
        <f t="shared" si="12"/>
        <v>-71045</v>
      </c>
      <c r="P102" s="203"/>
      <c r="Q102" s="224"/>
      <c r="R102" s="14">
        <v>224</v>
      </c>
      <c r="S102" s="14">
        <v>1</v>
      </c>
      <c r="T102" s="15">
        <v>0</v>
      </c>
      <c r="U102" s="174" t="s">
        <v>76</v>
      </c>
      <c r="V102" s="17">
        <v>0</v>
      </c>
      <c r="W102" s="17">
        <v>200000</v>
      </c>
      <c r="X102" s="17">
        <v>-71245204.890000001</v>
      </c>
      <c r="Y102" s="223">
        <f t="shared" si="13"/>
        <v>-71045</v>
      </c>
      <c r="Z102" s="216"/>
      <c r="AD102" s="20" t="str">
        <f t="shared" si="7"/>
        <v>2241DEPOSITOS EN GARANTIA M.N.</v>
      </c>
      <c r="AE102" s="20" t="str">
        <f>+VLOOKUP(AD102,Catálogo!E:F,2,0)</f>
        <v>Depósitos en garantía recibidos</v>
      </c>
      <c r="AF102" s="20" t="str">
        <f>+VLOOKUP(AD102,Catálogo!E:G,3,0)</f>
        <v>Depósitos en garantía MN</v>
      </c>
    </row>
    <row r="103" spans="1:32">
      <c r="A103" s="6">
        <v>301</v>
      </c>
      <c r="B103" s="6">
        <v>0</v>
      </c>
      <c r="C103" s="7">
        <v>0</v>
      </c>
      <c r="D103" s="218" t="s">
        <v>95</v>
      </c>
      <c r="E103" s="22">
        <v>-272971688.89999998</v>
      </c>
      <c r="F103" s="22">
        <v>0</v>
      </c>
      <c r="G103" s="22">
        <v>0</v>
      </c>
      <c r="H103" s="22">
        <v>-272971688.89999998</v>
      </c>
      <c r="I103" s="223"/>
      <c r="J103" s="194">
        <f t="shared" si="8"/>
        <v>-272972</v>
      </c>
      <c r="K103" s="201">
        <f t="shared" si="9"/>
        <v>0</v>
      </c>
      <c r="L103" s="201">
        <f t="shared" si="10"/>
        <v>0</v>
      </c>
      <c r="M103" s="202">
        <f t="shared" si="11"/>
        <v>0</v>
      </c>
      <c r="N103" s="180"/>
      <c r="O103" s="202">
        <f t="shared" si="12"/>
        <v>0</v>
      </c>
      <c r="P103" s="203"/>
      <c r="Q103" s="223"/>
      <c r="R103" s="6">
        <v>301</v>
      </c>
      <c r="S103" s="6">
        <v>0</v>
      </c>
      <c r="T103" s="7">
        <v>0</v>
      </c>
      <c r="U103" s="218" t="s">
        <v>95</v>
      </c>
      <c r="V103" s="22">
        <v>-272971688.89999998</v>
      </c>
      <c r="W103" s="22">
        <v>0</v>
      </c>
      <c r="X103" s="22">
        <v>0</v>
      </c>
      <c r="Y103" s="223">
        <f t="shared" si="13"/>
        <v>0</v>
      </c>
      <c r="Z103" s="216"/>
      <c r="AD103" s="20" t="str">
        <f t="shared" si="7"/>
        <v>3010PATRIMONIO</v>
      </c>
      <c r="AE103" s="20" t="e">
        <f>+VLOOKUP(AD103,Catálogo!E:F,2,0)</f>
        <v>#N/A</v>
      </c>
      <c r="AF103" s="20">
        <f>+VLOOKUP(AD103,Catálogo!E:G,3,0)</f>
        <v>0</v>
      </c>
    </row>
    <row r="104" spans="1:32">
      <c r="A104" s="10">
        <v>301</v>
      </c>
      <c r="B104" s="10">
        <v>1</v>
      </c>
      <c r="C104" s="11">
        <v>0</v>
      </c>
      <c r="D104" s="219" t="s">
        <v>95</v>
      </c>
      <c r="E104" s="24">
        <v>-272971688.89999998</v>
      </c>
      <c r="F104" s="24">
        <v>0</v>
      </c>
      <c r="G104" s="24">
        <v>0</v>
      </c>
      <c r="H104" s="24">
        <v>-272971688.89999998</v>
      </c>
      <c r="I104" s="224"/>
      <c r="J104" s="194">
        <f t="shared" si="8"/>
        <v>-272972</v>
      </c>
      <c r="K104" s="201">
        <f t="shared" si="9"/>
        <v>0</v>
      </c>
      <c r="L104" s="201">
        <f t="shared" si="10"/>
        <v>0</v>
      </c>
      <c r="M104" s="202">
        <f t="shared" si="11"/>
        <v>0</v>
      </c>
      <c r="N104" s="180"/>
      <c r="O104" s="202">
        <f t="shared" si="12"/>
        <v>0</v>
      </c>
      <c r="P104" s="203"/>
      <c r="Q104" s="224"/>
      <c r="R104" s="10">
        <v>301</v>
      </c>
      <c r="S104" s="10">
        <v>1</v>
      </c>
      <c r="T104" s="11">
        <v>0</v>
      </c>
      <c r="U104" s="219" t="s">
        <v>95</v>
      </c>
      <c r="V104" s="23">
        <v>-272971688.89999998</v>
      </c>
      <c r="W104" s="23">
        <v>0</v>
      </c>
      <c r="X104" s="23">
        <v>0</v>
      </c>
      <c r="Y104" s="223">
        <f t="shared" si="13"/>
        <v>0</v>
      </c>
      <c r="Z104" s="216"/>
      <c r="AD104" s="20" t="str">
        <f t="shared" si="7"/>
        <v>3011PATRIMONIO</v>
      </c>
      <c r="AE104" s="20" t="e">
        <f>+VLOOKUP(AD104,Catálogo!E:F,2,0)</f>
        <v>#N/A</v>
      </c>
      <c r="AF104" s="20">
        <f>+VLOOKUP(AD104,Catálogo!E:G,3,0)</f>
        <v>0</v>
      </c>
    </row>
    <row r="105" spans="1:32">
      <c r="A105" s="14">
        <v>301</v>
      </c>
      <c r="B105" s="14">
        <v>1</v>
      </c>
      <c r="C105" s="15">
        <v>1</v>
      </c>
      <c r="D105" s="174" t="s">
        <v>93</v>
      </c>
      <c r="E105" s="13">
        <v>-272971688.89999998</v>
      </c>
      <c r="F105" s="13">
        <v>0</v>
      </c>
      <c r="G105" s="13">
        <v>0</v>
      </c>
      <c r="H105" s="13">
        <v>-272971688.89999998</v>
      </c>
      <c r="I105" s="224"/>
      <c r="J105" s="194">
        <f t="shared" si="8"/>
        <v>-272972</v>
      </c>
      <c r="K105" s="201" t="str">
        <f t="shared" si="9"/>
        <v>Apo</v>
      </c>
      <c r="L105" s="201" t="str">
        <f t="shared" si="10"/>
        <v>ok</v>
      </c>
      <c r="M105" s="202">
        <f t="shared" si="11"/>
        <v>-272972</v>
      </c>
      <c r="N105" s="180"/>
      <c r="O105" s="202">
        <f t="shared" si="12"/>
        <v>-272972</v>
      </c>
      <c r="P105" s="203"/>
      <c r="Q105" s="224"/>
      <c r="R105" s="14">
        <v>301</v>
      </c>
      <c r="S105" s="14">
        <v>1</v>
      </c>
      <c r="T105" s="15">
        <v>1</v>
      </c>
      <c r="U105" s="174" t="s">
        <v>93</v>
      </c>
      <c r="V105" s="17">
        <v>-272971688.89999998</v>
      </c>
      <c r="W105" s="17">
        <v>0</v>
      </c>
      <c r="X105" s="17">
        <v>0</v>
      </c>
      <c r="Y105" s="223">
        <f t="shared" si="13"/>
        <v>-272972</v>
      </c>
      <c r="Z105" s="216"/>
      <c r="AD105" s="20" t="str">
        <f t="shared" si="7"/>
        <v>3011FIDEICOMISO IRREVOCABLE NUMERO 3518</v>
      </c>
      <c r="AE105" s="20" t="str">
        <f>+VLOOKUP(AD105,Catálogo!E:F,2,0)</f>
        <v>Aportaciones</v>
      </c>
      <c r="AF105" s="20" t="str">
        <f>+VLOOKUP(AD105,Catálogo!E:G,3,0)</f>
        <v>Fideicomiso Fortem CKD 18</v>
      </c>
    </row>
    <row r="106" spans="1:32">
      <c r="A106" s="6">
        <v>304</v>
      </c>
      <c r="B106" s="6">
        <v>0</v>
      </c>
      <c r="C106" s="7">
        <v>0</v>
      </c>
      <c r="D106" s="218" t="s">
        <v>96</v>
      </c>
      <c r="E106" s="22">
        <v>292408.03999999998</v>
      </c>
      <c r="F106" s="22">
        <v>0</v>
      </c>
      <c r="G106" s="22">
        <v>-292408.03999999998</v>
      </c>
      <c r="H106" s="22">
        <v>0</v>
      </c>
      <c r="I106" s="223"/>
      <c r="J106" s="194">
        <f t="shared" si="8"/>
        <v>0</v>
      </c>
      <c r="K106" s="201">
        <f t="shared" si="9"/>
        <v>0</v>
      </c>
      <c r="L106" s="201">
        <f t="shared" si="10"/>
        <v>0</v>
      </c>
      <c r="M106" s="202">
        <f t="shared" si="11"/>
        <v>0</v>
      </c>
      <c r="N106" s="180"/>
      <c r="O106" s="202">
        <f t="shared" si="12"/>
        <v>0</v>
      </c>
      <c r="P106" s="203"/>
      <c r="Q106" s="223"/>
      <c r="R106" s="6">
        <v>304</v>
      </c>
      <c r="S106" s="6">
        <v>0</v>
      </c>
      <c r="T106" s="7">
        <v>0</v>
      </c>
      <c r="U106" s="218" t="s">
        <v>96</v>
      </c>
      <c r="V106" s="22">
        <v>292408.03999999998</v>
      </c>
      <c r="W106" s="22">
        <v>0</v>
      </c>
      <c r="X106" s="22">
        <v>-292408.03999999998</v>
      </c>
      <c r="Y106" s="223">
        <f t="shared" si="13"/>
        <v>0</v>
      </c>
      <c r="Z106" s="216"/>
      <c r="AD106" s="20" t="str">
        <f t="shared" si="7"/>
        <v>3040RESULTADO DEL EJERCICIO</v>
      </c>
      <c r="AE106" s="20" t="e">
        <f>+VLOOKUP(AD106,Catálogo!E:F,2,0)</f>
        <v>#N/A</v>
      </c>
      <c r="AF106" s="20">
        <f>+VLOOKUP(AD106,Catálogo!E:G,3,0)</f>
        <v>0</v>
      </c>
    </row>
    <row r="107" spans="1:32">
      <c r="A107" s="14">
        <v>304</v>
      </c>
      <c r="B107" s="14">
        <v>1</v>
      </c>
      <c r="C107" s="15">
        <v>0</v>
      </c>
      <c r="D107" s="174" t="s">
        <v>96</v>
      </c>
      <c r="E107" s="13">
        <v>292408.03999999998</v>
      </c>
      <c r="F107" s="13">
        <v>0</v>
      </c>
      <c r="G107" s="13">
        <v>-292408.03999999998</v>
      </c>
      <c r="H107" s="13">
        <v>0</v>
      </c>
      <c r="I107" s="224"/>
      <c r="J107" s="194">
        <f t="shared" si="8"/>
        <v>0</v>
      </c>
      <c r="K107" s="201">
        <f t="shared" si="9"/>
        <v>0</v>
      </c>
      <c r="L107" s="201">
        <f t="shared" si="10"/>
        <v>0</v>
      </c>
      <c r="M107" s="202">
        <f t="shared" si="11"/>
        <v>0</v>
      </c>
      <c r="N107" s="180"/>
      <c r="O107" s="202">
        <f t="shared" si="12"/>
        <v>0</v>
      </c>
      <c r="P107" s="203"/>
      <c r="Q107" s="224"/>
      <c r="R107" s="14">
        <v>304</v>
      </c>
      <c r="S107" s="14">
        <v>1</v>
      </c>
      <c r="T107" s="15">
        <v>0</v>
      </c>
      <c r="U107" s="174" t="s">
        <v>96</v>
      </c>
      <c r="V107" s="17">
        <v>292408.03999999998</v>
      </c>
      <c r="W107" s="17">
        <v>0</v>
      </c>
      <c r="X107" s="17">
        <v>-292408.03999999998</v>
      </c>
      <c r="Y107" s="223">
        <f t="shared" si="13"/>
        <v>0</v>
      </c>
      <c r="Z107" s="216"/>
      <c r="AD107" s="20" t="str">
        <f t="shared" si="7"/>
        <v>3041RESULTADO DEL EJERCICIO</v>
      </c>
      <c r="AE107" s="20" t="e">
        <f>+VLOOKUP(AD107,Catálogo!E:F,2,0)</f>
        <v>#N/A</v>
      </c>
      <c r="AF107" s="20">
        <f>+VLOOKUP(AD107,Catálogo!E:G,3,0)</f>
        <v>0</v>
      </c>
    </row>
    <row r="108" spans="1:32">
      <c r="A108" s="6">
        <v>305</v>
      </c>
      <c r="B108" s="6">
        <v>0</v>
      </c>
      <c r="C108" s="7">
        <v>0</v>
      </c>
      <c r="D108" s="218" t="s">
        <v>97</v>
      </c>
      <c r="E108" s="22">
        <v>-311979.25</v>
      </c>
      <c r="F108" s="22">
        <v>0</v>
      </c>
      <c r="G108" s="22">
        <v>0</v>
      </c>
      <c r="H108" s="22">
        <v>-311979.25</v>
      </c>
      <c r="I108" s="223"/>
      <c r="J108" s="194">
        <f t="shared" si="8"/>
        <v>-312</v>
      </c>
      <c r="K108" s="201">
        <f t="shared" si="9"/>
        <v>0</v>
      </c>
      <c r="L108" s="201">
        <f t="shared" si="10"/>
        <v>0</v>
      </c>
      <c r="M108" s="202">
        <f t="shared" si="11"/>
        <v>0</v>
      </c>
      <c r="N108" s="180"/>
      <c r="O108" s="202">
        <f t="shared" si="12"/>
        <v>0</v>
      </c>
      <c r="P108" s="203"/>
      <c r="Q108" s="223"/>
      <c r="R108" s="6">
        <v>305</v>
      </c>
      <c r="S108" s="6">
        <v>0</v>
      </c>
      <c r="T108" s="7">
        <v>0</v>
      </c>
      <c r="U108" s="218" t="s">
        <v>97</v>
      </c>
      <c r="V108" s="22">
        <v>-311979.25</v>
      </c>
      <c r="W108" s="22">
        <v>0</v>
      </c>
      <c r="X108" s="22">
        <v>0</v>
      </c>
      <c r="Y108" s="223">
        <f t="shared" si="13"/>
        <v>0</v>
      </c>
      <c r="Z108" s="216"/>
      <c r="AD108" s="20" t="str">
        <f t="shared" si="7"/>
        <v>3050UTILIDADES ACUMULADAS</v>
      </c>
      <c r="AE108" s="20" t="e">
        <f>+VLOOKUP(AD108,Catálogo!E:F,2,0)</f>
        <v>#N/A</v>
      </c>
      <c r="AF108" s="20">
        <f>+VLOOKUP(AD108,Catálogo!E:G,3,0)</f>
        <v>0</v>
      </c>
    </row>
    <row r="109" spans="1:32">
      <c r="A109" s="14">
        <v>305</v>
      </c>
      <c r="B109" s="14">
        <v>1</v>
      </c>
      <c r="C109" s="15">
        <v>0</v>
      </c>
      <c r="D109" s="174" t="s">
        <v>98</v>
      </c>
      <c r="E109" s="13">
        <v>-311979.25</v>
      </c>
      <c r="F109" s="13">
        <v>0</v>
      </c>
      <c r="G109" s="13">
        <v>0</v>
      </c>
      <c r="H109" s="13">
        <v>-311979.25</v>
      </c>
      <c r="I109" s="224"/>
      <c r="J109" s="194">
        <f t="shared" si="8"/>
        <v>-312</v>
      </c>
      <c r="K109" s="201" t="str">
        <f t="shared" si="9"/>
        <v>Res</v>
      </c>
      <c r="L109" s="201" t="str">
        <f t="shared" si="10"/>
        <v>ok</v>
      </c>
      <c r="M109" s="202">
        <f t="shared" si="11"/>
        <v>-312</v>
      </c>
      <c r="N109" s="180"/>
      <c r="O109" s="202">
        <f t="shared" si="12"/>
        <v>-312</v>
      </c>
      <c r="P109" s="203"/>
      <c r="Q109" s="224"/>
      <c r="R109" s="14">
        <v>305</v>
      </c>
      <c r="S109" s="14">
        <v>1</v>
      </c>
      <c r="T109" s="15">
        <v>0</v>
      </c>
      <c r="U109" s="174" t="s">
        <v>98</v>
      </c>
      <c r="V109" s="17">
        <v>-311979.25</v>
      </c>
      <c r="W109" s="17">
        <v>0</v>
      </c>
      <c r="X109" s="17">
        <v>0</v>
      </c>
      <c r="Y109" s="223">
        <f t="shared" si="13"/>
        <v>-312</v>
      </c>
      <c r="Z109" s="216"/>
      <c r="AD109" s="20" t="str">
        <f t="shared" si="7"/>
        <v>3051EJERCICIO 2020</v>
      </c>
      <c r="AE109" s="20" t="str">
        <f>+VLOOKUP(AD109,Catálogo!E:F,2,0)</f>
        <v>Resultados acumulados</v>
      </c>
      <c r="AF109" s="20">
        <f>+VLOOKUP(AD109,Catálogo!E:G,3,0)</f>
        <v>0</v>
      </c>
    </row>
    <row r="110" spans="1:32">
      <c r="A110" s="6">
        <v>307</v>
      </c>
      <c r="B110" s="6">
        <v>0</v>
      </c>
      <c r="C110" s="7">
        <v>0</v>
      </c>
      <c r="D110" s="218" t="s">
        <v>99</v>
      </c>
      <c r="E110" s="22">
        <v>413076.66</v>
      </c>
      <c r="F110" s="22">
        <v>292408.03999999998</v>
      </c>
      <c r="G110" s="22">
        <v>0</v>
      </c>
      <c r="H110" s="22">
        <v>705484.7</v>
      </c>
      <c r="I110" s="223"/>
      <c r="J110" s="194">
        <f t="shared" si="8"/>
        <v>705</v>
      </c>
      <c r="K110" s="201">
        <f t="shared" si="9"/>
        <v>0</v>
      </c>
      <c r="L110" s="201">
        <f t="shared" si="10"/>
        <v>0</v>
      </c>
      <c r="M110" s="202">
        <f t="shared" si="11"/>
        <v>0</v>
      </c>
      <c r="N110" s="180"/>
      <c r="O110" s="202">
        <f t="shared" si="12"/>
        <v>0</v>
      </c>
      <c r="P110" s="203"/>
      <c r="Q110" s="223"/>
      <c r="R110" s="6">
        <v>307</v>
      </c>
      <c r="S110" s="6">
        <v>0</v>
      </c>
      <c r="T110" s="7">
        <v>0</v>
      </c>
      <c r="U110" s="218" t="s">
        <v>99</v>
      </c>
      <c r="V110" s="22">
        <v>413076.66</v>
      </c>
      <c r="W110" s="22">
        <v>292408.03999999998</v>
      </c>
      <c r="X110" s="22">
        <v>0</v>
      </c>
      <c r="Y110" s="223">
        <f t="shared" si="13"/>
        <v>0</v>
      </c>
      <c r="Z110" s="216"/>
      <c r="AD110" s="20" t="str">
        <f t="shared" si="7"/>
        <v>3070PERDIDAS ACUMULADAS</v>
      </c>
      <c r="AE110" s="20" t="e">
        <f>+VLOOKUP(AD110,Catálogo!E:F,2,0)</f>
        <v>#N/A</v>
      </c>
      <c r="AF110" s="20">
        <f>+VLOOKUP(AD110,Catálogo!E:G,3,0)</f>
        <v>0</v>
      </c>
    </row>
    <row r="111" spans="1:32">
      <c r="A111" s="14">
        <v>307</v>
      </c>
      <c r="B111" s="14">
        <v>1</v>
      </c>
      <c r="C111" s="15">
        <v>0</v>
      </c>
      <c r="D111" s="174" t="s">
        <v>100</v>
      </c>
      <c r="E111" s="13">
        <v>279505.99</v>
      </c>
      <c r="F111" s="13">
        <v>0</v>
      </c>
      <c r="G111" s="13">
        <v>0</v>
      </c>
      <c r="H111" s="13">
        <v>279505.99</v>
      </c>
      <c r="I111" s="224"/>
      <c r="J111" s="194">
        <f t="shared" si="8"/>
        <v>280</v>
      </c>
      <c r="K111" s="201" t="str">
        <f t="shared" si="9"/>
        <v>Res</v>
      </c>
      <c r="L111" s="201" t="str">
        <f t="shared" si="10"/>
        <v>ok</v>
      </c>
      <c r="M111" s="202">
        <f t="shared" si="11"/>
        <v>280</v>
      </c>
      <c r="N111" s="180"/>
      <c r="O111" s="202">
        <f t="shared" si="12"/>
        <v>280</v>
      </c>
      <c r="P111" s="203"/>
      <c r="Q111" s="224"/>
      <c r="R111" s="14">
        <v>307</v>
      </c>
      <c r="S111" s="14">
        <v>1</v>
      </c>
      <c r="T111" s="15">
        <v>0</v>
      </c>
      <c r="U111" s="174" t="s">
        <v>100</v>
      </c>
      <c r="V111" s="17">
        <v>279505.99</v>
      </c>
      <c r="W111" s="17">
        <v>0</v>
      </c>
      <c r="X111" s="17">
        <v>0</v>
      </c>
      <c r="Y111" s="223">
        <f t="shared" si="13"/>
        <v>280</v>
      </c>
      <c r="Z111" s="216"/>
      <c r="AD111" s="20" t="str">
        <f t="shared" si="7"/>
        <v>3071EJERCICIO 2019</v>
      </c>
      <c r="AE111" s="20" t="str">
        <f>+VLOOKUP(AD111,Catálogo!E:F,2,0)</f>
        <v>Resultados acumulados</v>
      </c>
      <c r="AF111" s="20">
        <f>+VLOOKUP(AD111,Catálogo!E:G,3,0)</f>
        <v>0</v>
      </c>
    </row>
    <row r="112" spans="1:32">
      <c r="A112" s="14">
        <v>307</v>
      </c>
      <c r="B112" s="14">
        <v>2</v>
      </c>
      <c r="C112" s="15">
        <v>0</v>
      </c>
      <c r="D112" s="174" t="s">
        <v>101</v>
      </c>
      <c r="E112" s="13">
        <v>133570.67000000001</v>
      </c>
      <c r="F112" s="13">
        <v>0</v>
      </c>
      <c r="G112" s="13">
        <v>0</v>
      </c>
      <c r="H112" s="13">
        <v>133570.67000000001</v>
      </c>
      <c r="I112" s="224"/>
      <c r="J112" s="194">
        <f t="shared" si="8"/>
        <v>134</v>
      </c>
      <c r="K112" s="201" t="str">
        <f t="shared" si="9"/>
        <v>Res</v>
      </c>
      <c r="L112" s="201" t="str">
        <f t="shared" si="10"/>
        <v>ok</v>
      </c>
      <c r="M112" s="202">
        <f t="shared" si="11"/>
        <v>134</v>
      </c>
      <c r="N112" s="180"/>
      <c r="O112" s="202">
        <f t="shared" si="12"/>
        <v>134</v>
      </c>
      <c r="P112" s="203"/>
      <c r="Q112" s="224"/>
      <c r="R112" s="14">
        <v>307</v>
      </c>
      <c r="S112" s="14">
        <v>2</v>
      </c>
      <c r="T112" s="15">
        <v>0</v>
      </c>
      <c r="U112" s="174" t="s">
        <v>101</v>
      </c>
      <c r="V112" s="17">
        <v>133570.67000000001</v>
      </c>
      <c r="W112" s="17">
        <v>0</v>
      </c>
      <c r="X112" s="17">
        <v>0</v>
      </c>
      <c r="Y112" s="223">
        <f t="shared" si="13"/>
        <v>134</v>
      </c>
      <c r="Z112" s="216"/>
      <c r="AD112" s="20" t="str">
        <f t="shared" si="7"/>
        <v>3072EJERCICIO 2021</v>
      </c>
      <c r="AE112" s="20" t="str">
        <f>+VLOOKUP(AD112,Catálogo!E:F,2,0)</f>
        <v>Resultados acumulados</v>
      </c>
      <c r="AF112" s="20">
        <f>+VLOOKUP(AD112,Catálogo!E:G,3,0)</f>
        <v>0</v>
      </c>
    </row>
    <row r="113" spans="1:32">
      <c r="A113" s="14">
        <v>307</v>
      </c>
      <c r="B113" s="14">
        <v>3</v>
      </c>
      <c r="C113" s="15">
        <v>0</v>
      </c>
      <c r="D113" s="174" t="s">
        <v>102</v>
      </c>
      <c r="E113" s="13">
        <v>0</v>
      </c>
      <c r="F113" s="13">
        <v>292408.03999999998</v>
      </c>
      <c r="G113" s="13">
        <v>0</v>
      </c>
      <c r="H113" s="13">
        <v>292408.03999999998</v>
      </c>
      <c r="I113" s="224"/>
      <c r="J113" s="194">
        <f t="shared" si="8"/>
        <v>292</v>
      </c>
      <c r="K113" s="201" t="str">
        <f t="shared" si="9"/>
        <v>Res</v>
      </c>
      <c r="L113" s="201" t="str">
        <f t="shared" si="10"/>
        <v>ok</v>
      </c>
      <c r="M113" s="202">
        <f t="shared" si="11"/>
        <v>292</v>
      </c>
      <c r="N113" s="180"/>
      <c r="O113" s="202">
        <f t="shared" si="12"/>
        <v>292</v>
      </c>
      <c r="P113" s="203"/>
      <c r="Q113" s="224"/>
      <c r="R113" s="14">
        <v>307</v>
      </c>
      <c r="S113" s="14">
        <v>3</v>
      </c>
      <c r="T113" s="15">
        <v>0</v>
      </c>
      <c r="U113" s="174" t="s">
        <v>102</v>
      </c>
      <c r="V113" s="17">
        <v>0</v>
      </c>
      <c r="W113" s="17">
        <v>292408.03999999998</v>
      </c>
      <c r="X113" s="17">
        <v>0</v>
      </c>
      <c r="Y113" s="223">
        <f t="shared" si="13"/>
        <v>292</v>
      </c>
      <c r="Z113" s="216"/>
      <c r="AD113" s="20" t="str">
        <f t="shared" si="7"/>
        <v>3073EJERCICIO 2022</v>
      </c>
      <c r="AE113" s="20" t="str">
        <f>+VLOOKUP(AD113,Catálogo!E:F,2,0)</f>
        <v>Resultados acumulados</v>
      </c>
      <c r="AF113" s="20">
        <f>+VLOOKUP(AD113,Catálogo!E:G,3,0)</f>
        <v>0</v>
      </c>
    </row>
    <row r="114" spans="1:32">
      <c r="A114" s="6">
        <v>407</v>
      </c>
      <c r="B114" s="6">
        <v>0</v>
      </c>
      <c r="C114" s="7">
        <v>0</v>
      </c>
      <c r="D114" s="218" t="s">
        <v>103</v>
      </c>
      <c r="E114" s="22">
        <v>0</v>
      </c>
      <c r="F114" s="22">
        <v>0</v>
      </c>
      <c r="G114" s="22">
        <v>-2455878.9</v>
      </c>
      <c r="H114" s="22">
        <v>-2455878.9</v>
      </c>
      <c r="I114" s="223"/>
      <c r="J114" s="194">
        <f t="shared" si="8"/>
        <v>-2456</v>
      </c>
      <c r="K114" s="201" t="str">
        <f t="shared" si="9"/>
        <v>0</v>
      </c>
      <c r="L114" s="201">
        <f t="shared" si="10"/>
        <v>0</v>
      </c>
      <c r="M114" s="202">
        <f t="shared" si="11"/>
        <v>0</v>
      </c>
      <c r="N114" s="180"/>
      <c r="O114" s="202">
        <f t="shared" si="12"/>
        <v>0</v>
      </c>
      <c r="P114" s="203"/>
      <c r="Q114" s="223"/>
      <c r="R114" s="6">
        <v>407</v>
      </c>
      <c r="S114" s="6">
        <v>0</v>
      </c>
      <c r="T114" s="7">
        <v>0</v>
      </c>
      <c r="U114" s="218" t="s">
        <v>103</v>
      </c>
      <c r="V114" s="22">
        <v>0</v>
      </c>
      <c r="W114" s="22">
        <v>0</v>
      </c>
      <c r="X114" s="22">
        <v>-2455878.9</v>
      </c>
      <c r="Y114" s="223">
        <f t="shared" si="13"/>
        <v>0</v>
      </c>
      <c r="Z114" s="216"/>
      <c r="AD114" s="20" t="str">
        <f t="shared" si="7"/>
        <v>4070INGRESOS POR INTERESES</v>
      </c>
      <c r="AE114" s="20">
        <f>+VLOOKUP(AD114,Catálogo!E:F,2,0)</f>
        <v>0</v>
      </c>
      <c r="AF114" s="20">
        <f>+VLOOKUP(AD114,Catálogo!E:G,3,0)</f>
        <v>0</v>
      </c>
    </row>
    <row r="115" spans="1:32">
      <c r="A115" s="14">
        <v>407</v>
      </c>
      <c r="B115" s="14">
        <v>1</v>
      </c>
      <c r="C115" s="15">
        <v>0</v>
      </c>
      <c r="D115" s="174" t="s">
        <v>103</v>
      </c>
      <c r="E115" s="13">
        <v>0</v>
      </c>
      <c r="F115" s="13">
        <v>0</v>
      </c>
      <c r="G115" s="13">
        <v>-2455878.9</v>
      </c>
      <c r="H115" s="25">
        <v>-2455878.9</v>
      </c>
      <c r="I115" s="224"/>
      <c r="J115" s="194">
        <f t="shared" si="8"/>
        <v>-2456</v>
      </c>
      <c r="K115" s="201" t="str">
        <f t="shared" si="9"/>
        <v>Int</v>
      </c>
      <c r="L115" s="201" t="str">
        <f t="shared" si="10"/>
        <v>ok</v>
      </c>
      <c r="M115" s="202">
        <f t="shared" si="11"/>
        <v>-2456</v>
      </c>
      <c r="N115" s="180"/>
      <c r="O115" s="202">
        <f t="shared" si="12"/>
        <v>-2456</v>
      </c>
      <c r="P115" s="203"/>
      <c r="Q115" s="224"/>
      <c r="R115" s="14">
        <v>407</v>
      </c>
      <c r="S115" s="14">
        <v>1</v>
      </c>
      <c r="T115" s="15">
        <v>0</v>
      </c>
      <c r="U115" s="174" t="s">
        <v>103</v>
      </c>
      <c r="V115" s="17">
        <v>0</v>
      </c>
      <c r="W115" s="17">
        <v>0</v>
      </c>
      <c r="X115" s="17">
        <v>-2455878.9</v>
      </c>
      <c r="Y115" s="223">
        <f t="shared" si="13"/>
        <v>-2456</v>
      </c>
      <c r="Z115" s="216"/>
      <c r="AD115" s="20" t="str">
        <f t="shared" si="7"/>
        <v>4071INGRESOS POR INTERESES</v>
      </c>
      <c r="AE115" s="20" t="str">
        <f>+VLOOKUP(AD115,Catálogo!E:F,2,0)</f>
        <v>Intereses a favor</v>
      </c>
      <c r="AF115" s="20">
        <f>+VLOOKUP(AD115,Catálogo!E:G,3,0)</f>
        <v>0</v>
      </c>
    </row>
    <row r="116" spans="1:32">
      <c r="A116" s="6">
        <v>601</v>
      </c>
      <c r="B116" s="6">
        <v>0</v>
      </c>
      <c r="C116" s="7">
        <v>0</v>
      </c>
      <c r="D116" s="218" t="s">
        <v>104</v>
      </c>
      <c r="E116" s="22">
        <v>0</v>
      </c>
      <c r="F116" s="22">
        <v>58804.54</v>
      </c>
      <c r="G116" s="22">
        <v>0</v>
      </c>
      <c r="H116" s="22">
        <v>58804.54</v>
      </c>
      <c r="I116" s="223"/>
      <c r="J116" s="194">
        <f t="shared" si="8"/>
        <v>59</v>
      </c>
      <c r="K116" s="201">
        <f t="shared" si="9"/>
        <v>0</v>
      </c>
      <c r="L116" s="201">
        <f t="shared" si="10"/>
        <v>0</v>
      </c>
      <c r="M116" s="202">
        <f t="shared" si="11"/>
        <v>0</v>
      </c>
      <c r="N116" s="180"/>
      <c r="O116" s="202">
        <f t="shared" si="12"/>
        <v>0</v>
      </c>
      <c r="P116" s="203"/>
      <c r="Q116" s="223"/>
      <c r="R116" s="6">
        <v>601</v>
      </c>
      <c r="S116" s="6">
        <v>0</v>
      </c>
      <c r="T116" s="7">
        <v>0</v>
      </c>
      <c r="U116" s="218" t="s">
        <v>104</v>
      </c>
      <c r="V116" s="22">
        <v>0</v>
      </c>
      <c r="W116" s="22">
        <v>58804.54</v>
      </c>
      <c r="X116" s="22">
        <v>0</v>
      </c>
      <c r="Y116" s="223">
        <f t="shared" si="13"/>
        <v>0</v>
      </c>
      <c r="Z116" s="216"/>
      <c r="AD116" s="20" t="str">
        <f t="shared" si="7"/>
        <v>6010GASTOS DE ADMINISTRACIÓN</v>
      </c>
      <c r="AE116" s="20" t="e">
        <f>+VLOOKUP(AD116,Catálogo!E:F,2,0)</f>
        <v>#N/A</v>
      </c>
      <c r="AF116" s="20">
        <f>+VLOOKUP(AD116,Catálogo!E:G,3,0)</f>
        <v>0</v>
      </c>
    </row>
    <row r="117" spans="1:32">
      <c r="A117" s="14">
        <v>601</v>
      </c>
      <c r="B117" s="14">
        <v>22</v>
      </c>
      <c r="C117" s="15">
        <v>0</v>
      </c>
      <c r="D117" s="174" t="s">
        <v>105</v>
      </c>
      <c r="E117" s="13">
        <v>0</v>
      </c>
      <c r="F117" s="13">
        <v>5374.54</v>
      </c>
      <c r="G117" s="13">
        <v>0</v>
      </c>
      <c r="H117" s="25">
        <v>5374.54</v>
      </c>
      <c r="I117" s="224"/>
      <c r="J117" s="194">
        <f t="shared" si="8"/>
        <v>5</v>
      </c>
      <c r="K117" s="201" t="str">
        <f t="shared" si="9"/>
        <v>Gas</v>
      </c>
      <c r="L117" s="201" t="str">
        <f t="shared" si="10"/>
        <v>ok</v>
      </c>
      <c r="M117" s="202">
        <f t="shared" si="11"/>
        <v>5</v>
      </c>
      <c r="N117" s="180">
        <v>1</v>
      </c>
      <c r="O117" s="202">
        <f t="shared" si="12"/>
        <v>6</v>
      </c>
      <c r="P117" s="203"/>
      <c r="Q117" s="224"/>
      <c r="R117" s="14">
        <v>601</v>
      </c>
      <c r="S117" s="14">
        <v>22</v>
      </c>
      <c r="T117" s="15">
        <v>0</v>
      </c>
      <c r="U117" s="174" t="s">
        <v>105</v>
      </c>
      <c r="V117" s="17">
        <v>0</v>
      </c>
      <c r="W117" s="17">
        <v>5374.54</v>
      </c>
      <c r="X117" s="17">
        <v>0</v>
      </c>
      <c r="Y117" s="223">
        <f t="shared" si="13"/>
        <v>6</v>
      </c>
      <c r="Z117" s="216"/>
      <c r="AD117" s="20" t="str">
        <f t="shared" si="7"/>
        <v>60122GASTOS NO DEDUCIBLES</v>
      </c>
      <c r="AE117" s="20" t="str">
        <f>+VLOOKUP(AD117,Catálogo!E:F,2,0)</f>
        <v>Gastos operativos</v>
      </c>
      <c r="AF117" s="20">
        <f>+VLOOKUP(AD117,Catálogo!E:G,3,0)</f>
        <v>0</v>
      </c>
    </row>
    <row r="118" spans="1:32">
      <c r="A118" s="10">
        <v>601</v>
      </c>
      <c r="B118" s="10">
        <v>101</v>
      </c>
      <c r="C118" s="11">
        <v>0</v>
      </c>
      <c r="D118" s="219" t="s">
        <v>106</v>
      </c>
      <c r="E118" s="24">
        <v>0</v>
      </c>
      <c r="F118" s="24">
        <v>53430</v>
      </c>
      <c r="G118" s="24">
        <v>0</v>
      </c>
      <c r="H118" s="24">
        <v>53430</v>
      </c>
      <c r="I118" s="224"/>
      <c r="J118" s="194">
        <f t="shared" si="8"/>
        <v>53</v>
      </c>
      <c r="K118" s="201">
        <f t="shared" si="9"/>
        <v>0</v>
      </c>
      <c r="L118" s="201">
        <f t="shared" si="10"/>
        <v>0</v>
      </c>
      <c r="M118" s="202">
        <f t="shared" si="11"/>
        <v>0</v>
      </c>
      <c r="N118" s="180"/>
      <c r="O118" s="202">
        <f t="shared" si="12"/>
        <v>0</v>
      </c>
      <c r="P118" s="203"/>
      <c r="Q118" s="224"/>
      <c r="R118" s="10">
        <v>601</v>
      </c>
      <c r="S118" s="10">
        <v>101</v>
      </c>
      <c r="T118" s="11">
        <v>0</v>
      </c>
      <c r="U118" s="219" t="s">
        <v>106</v>
      </c>
      <c r="V118" s="23">
        <v>0</v>
      </c>
      <c r="W118" s="23">
        <v>53430</v>
      </c>
      <c r="X118" s="23">
        <v>0</v>
      </c>
      <c r="Y118" s="223">
        <f t="shared" si="13"/>
        <v>0</v>
      </c>
      <c r="Z118" s="216"/>
      <c r="AD118" s="20" t="str">
        <f t="shared" si="7"/>
        <v>601101DEPRECIACION DEL EJERCICIO</v>
      </c>
      <c r="AE118" s="20" t="e">
        <f>+VLOOKUP(AD118,Catálogo!E:F,2,0)</f>
        <v>#N/A</v>
      </c>
      <c r="AF118" s="20">
        <f>+VLOOKUP(AD118,Catálogo!E:G,3,0)</f>
        <v>0</v>
      </c>
    </row>
    <row r="119" spans="1:32">
      <c r="A119" s="14">
        <v>601</v>
      </c>
      <c r="B119" s="14">
        <v>101</v>
      </c>
      <c r="C119" s="15">
        <v>2</v>
      </c>
      <c r="D119" s="174" t="s">
        <v>107</v>
      </c>
      <c r="E119" s="13">
        <v>0</v>
      </c>
      <c r="F119" s="13">
        <v>53430</v>
      </c>
      <c r="G119" s="13">
        <v>0</v>
      </c>
      <c r="H119" s="25">
        <v>53430</v>
      </c>
      <c r="I119" s="224"/>
      <c r="J119" s="194">
        <f t="shared" si="8"/>
        <v>53</v>
      </c>
      <c r="K119" s="201" t="str">
        <f t="shared" si="9"/>
        <v>Gas</v>
      </c>
      <c r="L119" s="201" t="str">
        <f t="shared" si="10"/>
        <v>ok</v>
      </c>
      <c r="M119" s="202">
        <f t="shared" si="11"/>
        <v>53</v>
      </c>
      <c r="N119" s="180"/>
      <c r="O119" s="202">
        <f t="shared" si="12"/>
        <v>53</v>
      </c>
      <c r="P119" s="203"/>
      <c r="Q119" s="224"/>
      <c r="R119" s="14">
        <v>601</v>
      </c>
      <c r="S119" s="14">
        <v>101</v>
      </c>
      <c r="T119" s="15">
        <v>2</v>
      </c>
      <c r="U119" s="174" t="s">
        <v>107</v>
      </c>
      <c r="V119" s="17">
        <v>0</v>
      </c>
      <c r="W119" s="17">
        <v>53430</v>
      </c>
      <c r="X119" s="17">
        <v>0</v>
      </c>
      <c r="Y119" s="223">
        <f t="shared" si="13"/>
        <v>53</v>
      </c>
      <c r="Z119" s="216"/>
      <c r="AD119" s="20" t="str">
        <f t="shared" si="7"/>
        <v>601101DEPRECIACION EQUIPO DE COMPUTO</v>
      </c>
      <c r="AE119" s="20" t="str">
        <f>+VLOOKUP(AD119,Catálogo!E:F,2,0)</f>
        <v>Gastos operativos</v>
      </c>
      <c r="AF119" s="20">
        <f>+VLOOKUP(AD119,Catálogo!E:G,3,0)</f>
        <v>0</v>
      </c>
    </row>
    <row r="120" spans="1:32">
      <c r="A120" s="6">
        <v>701</v>
      </c>
      <c r="B120" s="6">
        <v>0</v>
      </c>
      <c r="C120" s="7">
        <v>0</v>
      </c>
      <c r="D120" s="218" t="s">
        <v>108</v>
      </c>
      <c r="E120" s="22">
        <v>0</v>
      </c>
      <c r="F120" s="22">
        <v>0</v>
      </c>
      <c r="G120" s="22">
        <v>-856163.29</v>
      </c>
      <c r="H120" s="22">
        <v>-856163.29</v>
      </c>
      <c r="I120" s="223"/>
      <c r="J120" s="194">
        <f t="shared" si="8"/>
        <v>-856</v>
      </c>
      <c r="K120" s="201">
        <f t="shared" si="9"/>
        <v>0</v>
      </c>
      <c r="L120" s="201">
        <f t="shared" si="10"/>
        <v>0</v>
      </c>
      <c r="M120" s="202">
        <f t="shared" si="11"/>
        <v>0</v>
      </c>
      <c r="N120" s="180"/>
      <c r="O120" s="202">
        <f t="shared" si="12"/>
        <v>0</v>
      </c>
      <c r="P120" s="203"/>
      <c r="Q120" s="223"/>
      <c r="R120" s="6">
        <v>701</v>
      </c>
      <c r="S120" s="6">
        <v>0</v>
      </c>
      <c r="T120" s="7">
        <v>0</v>
      </c>
      <c r="U120" s="218" t="s">
        <v>108</v>
      </c>
      <c r="V120" s="22">
        <v>0</v>
      </c>
      <c r="W120" s="22">
        <v>0</v>
      </c>
      <c r="X120" s="22">
        <v>-856163.29</v>
      </c>
      <c r="Y120" s="223">
        <f t="shared" si="13"/>
        <v>0</v>
      </c>
      <c r="Z120" s="216"/>
      <c r="AD120" s="20" t="str">
        <f t="shared" si="7"/>
        <v>7010PRODUCTOS FINANCIEROS</v>
      </c>
      <c r="AE120" s="20" t="e">
        <f>+VLOOKUP(AD120,Catálogo!E:F,2,0)</f>
        <v>#N/A</v>
      </c>
      <c r="AF120" s="20">
        <f>+VLOOKUP(AD120,Catálogo!E:G,3,0)</f>
        <v>0</v>
      </c>
    </row>
    <row r="121" spans="1:32">
      <c r="A121" s="14">
        <v>701</v>
      </c>
      <c r="B121" s="14">
        <v>1</v>
      </c>
      <c r="C121" s="15">
        <v>0</v>
      </c>
      <c r="D121" s="174" t="s">
        <v>109</v>
      </c>
      <c r="E121" s="13">
        <v>0</v>
      </c>
      <c r="F121" s="13">
        <v>0</v>
      </c>
      <c r="G121" s="13">
        <v>-846353.3</v>
      </c>
      <c r="H121" s="25">
        <v>-846353.3</v>
      </c>
      <c r="I121" s="224"/>
      <c r="J121" s="194">
        <f t="shared" si="8"/>
        <v>-846</v>
      </c>
      <c r="K121" s="201" t="str">
        <f t="shared" si="9"/>
        <v>Otr</v>
      </c>
      <c r="L121" s="201" t="str">
        <f t="shared" si="10"/>
        <v>ok</v>
      </c>
      <c r="M121" s="202">
        <f t="shared" si="11"/>
        <v>-846</v>
      </c>
      <c r="N121" s="180"/>
      <c r="O121" s="202">
        <f t="shared" si="12"/>
        <v>-846</v>
      </c>
      <c r="P121" s="203"/>
      <c r="Q121" s="224"/>
      <c r="R121" s="14">
        <v>701</v>
      </c>
      <c r="S121" s="14">
        <v>1</v>
      </c>
      <c r="T121" s="15">
        <v>0</v>
      </c>
      <c r="U121" s="174" t="s">
        <v>109</v>
      </c>
      <c r="V121" s="17">
        <v>0</v>
      </c>
      <c r="W121" s="17">
        <v>0</v>
      </c>
      <c r="X121" s="17">
        <v>-846353.3</v>
      </c>
      <c r="Y121" s="223">
        <f t="shared" si="13"/>
        <v>-846</v>
      </c>
      <c r="Z121" s="216"/>
      <c r="AD121" s="20" t="str">
        <f t="shared" si="7"/>
        <v>7011INTERESES GANADOS</v>
      </c>
      <c r="AE121" s="20" t="s">
        <v>133</v>
      </c>
      <c r="AF121" s="20">
        <f>+VLOOKUP(AD121,Catálogo!E:G,3,0)</f>
        <v>0</v>
      </c>
    </row>
    <row r="122" spans="1:32">
      <c r="A122" s="14">
        <v>701</v>
      </c>
      <c r="B122" s="14">
        <v>2</v>
      </c>
      <c r="C122" s="15">
        <v>0</v>
      </c>
      <c r="D122" s="174" t="s">
        <v>110</v>
      </c>
      <c r="E122" s="13">
        <v>0</v>
      </c>
      <c r="F122" s="13">
        <v>0</v>
      </c>
      <c r="G122" s="13">
        <v>-9809.99</v>
      </c>
      <c r="H122" s="25">
        <v>-9809.99</v>
      </c>
      <c r="I122" s="224"/>
      <c r="J122" s="194">
        <f t="shared" si="8"/>
        <v>-10</v>
      </c>
      <c r="K122" s="201" t="str">
        <f t="shared" si="9"/>
        <v>Otr</v>
      </c>
      <c r="L122" s="201" t="str">
        <f t="shared" si="10"/>
        <v>ok</v>
      </c>
      <c r="M122" s="202">
        <f t="shared" si="11"/>
        <v>-10</v>
      </c>
      <c r="N122" s="180"/>
      <c r="O122" s="202">
        <f t="shared" si="12"/>
        <v>-10</v>
      </c>
      <c r="P122" s="203"/>
      <c r="Q122" s="224"/>
      <c r="R122" s="14">
        <v>701</v>
      </c>
      <c r="S122" s="14">
        <v>2</v>
      </c>
      <c r="T122" s="15">
        <v>0</v>
      </c>
      <c r="U122" s="174" t="s">
        <v>110</v>
      </c>
      <c r="V122" s="17">
        <v>0</v>
      </c>
      <c r="W122" s="17">
        <v>0</v>
      </c>
      <c r="X122" s="17">
        <v>-9809.99</v>
      </c>
      <c r="Y122" s="223">
        <f t="shared" si="13"/>
        <v>-10</v>
      </c>
      <c r="Z122" s="216"/>
      <c r="AD122" s="20" t="str">
        <f t="shared" si="7"/>
        <v>7012UTILIDAD CAMBIARIA</v>
      </c>
      <c r="AE122" s="20" t="s">
        <v>133</v>
      </c>
      <c r="AF122" s="20">
        <f>+VLOOKUP(AD122,Catálogo!E:G,3,0)</f>
        <v>0</v>
      </c>
    </row>
    <row r="123" spans="1:32">
      <c r="A123" s="6">
        <v>702</v>
      </c>
      <c r="B123" s="6">
        <v>0</v>
      </c>
      <c r="C123" s="7">
        <v>0</v>
      </c>
      <c r="D123" s="218" t="s">
        <v>111</v>
      </c>
      <c r="E123" s="22">
        <v>0</v>
      </c>
      <c r="F123" s="22">
        <v>12774.05</v>
      </c>
      <c r="G123" s="22">
        <v>0</v>
      </c>
      <c r="H123" s="22">
        <v>12774.05</v>
      </c>
      <c r="I123" s="223"/>
      <c r="J123" s="194">
        <f t="shared" si="8"/>
        <v>13</v>
      </c>
      <c r="K123" s="201">
        <f t="shared" si="9"/>
        <v>0</v>
      </c>
      <c r="L123" s="201">
        <f t="shared" si="10"/>
        <v>0</v>
      </c>
      <c r="M123" s="202">
        <f t="shared" si="11"/>
        <v>0</v>
      </c>
      <c r="N123" s="180"/>
      <c r="O123" s="202">
        <f t="shared" si="12"/>
        <v>0</v>
      </c>
      <c r="P123" s="203"/>
      <c r="Q123" s="223"/>
      <c r="R123" s="6">
        <v>702</v>
      </c>
      <c r="S123" s="6">
        <v>0</v>
      </c>
      <c r="T123" s="7">
        <v>0</v>
      </c>
      <c r="U123" s="218" t="s">
        <v>111</v>
      </c>
      <c r="V123" s="22">
        <v>0</v>
      </c>
      <c r="W123" s="22">
        <v>12774.05</v>
      </c>
      <c r="X123" s="22">
        <v>0</v>
      </c>
      <c r="Y123" s="223">
        <f t="shared" si="13"/>
        <v>0</v>
      </c>
      <c r="Z123" s="216"/>
      <c r="AD123" s="20" t="str">
        <f t="shared" si="7"/>
        <v>7020GASTOS FINANCIEROS</v>
      </c>
      <c r="AE123" s="20" t="e">
        <f>+VLOOKUP(AD123,Catálogo!E:F,2,0)</f>
        <v>#N/A</v>
      </c>
      <c r="AF123" s="20">
        <f>+VLOOKUP(AD123,Catálogo!E:G,3,0)</f>
        <v>0</v>
      </c>
    </row>
    <row r="124" spans="1:32">
      <c r="A124" s="14">
        <v>702</v>
      </c>
      <c r="B124" s="14">
        <v>2</v>
      </c>
      <c r="C124" s="15">
        <v>0</v>
      </c>
      <c r="D124" s="174" t="s">
        <v>112</v>
      </c>
      <c r="E124" s="13">
        <v>0</v>
      </c>
      <c r="F124" s="13">
        <v>11420.95</v>
      </c>
      <c r="G124" s="13">
        <v>0</v>
      </c>
      <c r="H124" s="25">
        <v>11420.95</v>
      </c>
      <c r="I124" s="224"/>
      <c r="J124" s="194">
        <f t="shared" si="8"/>
        <v>11</v>
      </c>
      <c r="K124" s="201" t="str">
        <f t="shared" si="9"/>
        <v>Int</v>
      </c>
      <c r="L124" s="201" t="str">
        <f t="shared" si="10"/>
        <v>ok</v>
      </c>
      <c r="M124" s="202">
        <f t="shared" si="11"/>
        <v>11</v>
      </c>
      <c r="N124" s="180"/>
      <c r="O124" s="202">
        <f t="shared" si="12"/>
        <v>11</v>
      </c>
      <c r="P124" s="203"/>
      <c r="Q124" s="224"/>
      <c r="R124" s="14">
        <v>702</v>
      </c>
      <c r="S124" s="14">
        <v>2</v>
      </c>
      <c r="T124" s="15">
        <v>0</v>
      </c>
      <c r="U124" s="174" t="s">
        <v>112</v>
      </c>
      <c r="V124" s="17">
        <v>0</v>
      </c>
      <c r="W124" s="17">
        <v>11420.95</v>
      </c>
      <c r="X124" s="17">
        <v>0</v>
      </c>
      <c r="Y124" s="223">
        <f t="shared" si="13"/>
        <v>11</v>
      </c>
      <c r="Z124" s="216"/>
      <c r="AD124" s="20" t="str">
        <f t="shared" si="7"/>
        <v>7022COMISIONES BANCARIAS</v>
      </c>
      <c r="AE124" s="20" t="str">
        <f>+VLOOKUP(AD124,Catálogo!E:F,2,0)</f>
        <v>Intereses a cargo</v>
      </c>
      <c r="AF124" s="20">
        <f>+VLOOKUP(AD124,Catálogo!E:G,3,0)</f>
        <v>0</v>
      </c>
    </row>
    <row r="125" spans="1:32">
      <c r="A125" s="14">
        <v>702</v>
      </c>
      <c r="B125" s="14">
        <v>3</v>
      </c>
      <c r="C125" s="15">
        <v>0</v>
      </c>
      <c r="D125" s="174" t="s">
        <v>113</v>
      </c>
      <c r="E125" s="13">
        <v>0</v>
      </c>
      <c r="F125" s="13">
        <v>1353.1</v>
      </c>
      <c r="G125" s="13">
        <v>0</v>
      </c>
      <c r="H125" s="25">
        <v>1353.1</v>
      </c>
      <c r="I125" s="224"/>
      <c r="J125" s="194">
        <f t="shared" si="8"/>
        <v>1</v>
      </c>
      <c r="K125" s="201" t="str">
        <f t="shared" si="9"/>
        <v>Otr</v>
      </c>
      <c r="L125" s="201" t="str">
        <f t="shared" si="10"/>
        <v>ok</v>
      </c>
      <c r="M125" s="202">
        <f t="shared" si="11"/>
        <v>1</v>
      </c>
      <c r="N125" s="180"/>
      <c r="O125" s="202">
        <f t="shared" si="12"/>
        <v>1</v>
      </c>
      <c r="P125" s="203"/>
      <c r="Q125" s="224"/>
      <c r="R125" s="14">
        <v>702</v>
      </c>
      <c r="S125" s="14">
        <v>3</v>
      </c>
      <c r="T125" s="15">
        <v>0</v>
      </c>
      <c r="U125" s="174" t="s">
        <v>113</v>
      </c>
      <c r="V125" s="17">
        <v>0</v>
      </c>
      <c r="W125" s="17">
        <v>1353.1</v>
      </c>
      <c r="X125" s="17">
        <v>0</v>
      </c>
      <c r="Y125" s="223">
        <f t="shared" si="13"/>
        <v>1</v>
      </c>
      <c r="Z125" s="216"/>
      <c r="AD125" s="20" t="str">
        <f t="shared" si="7"/>
        <v>7023PERDIDA CAMBIARIA</v>
      </c>
      <c r="AE125" s="20" t="s">
        <v>133</v>
      </c>
      <c r="AF125" s="20">
        <f>+VLOOKUP(AD125,Catálogo!E:G,3,0)</f>
        <v>0</v>
      </c>
    </row>
    <row r="126" spans="1:32">
      <c r="A126" s="6">
        <v>751</v>
      </c>
      <c r="B126" s="6">
        <v>0</v>
      </c>
      <c r="C126" s="7">
        <v>0</v>
      </c>
      <c r="D126" s="218" t="s">
        <v>114</v>
      </c>
      <c r="E126" s="22">
        <v>0</v>
      </c>
      <c r="F126" s="22">
        <v>0.1</v>
      </c>
      <c r="G126" s="22">
        <v>-4608209.79</v>
      </c>
      <c r="H126" s="22">
        <v>-4608209.6900000004</v>
      </c>
      <c r="I126" s="223"/>
      <c r="J126" s="194">
        <f t="shared" si="8"/>
        <v>-4608</v>
      </c>
      <c r="K126" s="201">
        <f t="shared" si="9"/>
        <v>0</v>
      </c>
      <c r="L126" s="201">
        <f t="shared" si="10"/>
        <v>0</v>
      </c>
      <c r="M126" s="202">
        <f t="shared" si="11"/>
        <v>0</v>
      </c>
      <c r="N126" s="180"/>
      <c r="O126" s="202">
        <f t="shared" si="12"/>
        <v>0</v>
      </c>
      <c r="P126" s="203"/>
      <c r="Q126" s="223"/>
      <c r="R126" s="6">
        <v>751</v>
      </c>
      <c r="S126" s="6">
        <v>0</v>
      </c>
      <c r="T126" s="7">
        <v>0</v>
      </c>
      <c r="U126" s="218" t="s">
        <v>114</v>
      </c>
      <c r="V126" s="22">
        <v>0</v>
      </c>
      <c r="W126" s="22">
        <v>0.1</v>
      </c>
      <c r="X126" s="22">
        <v>-4608209.79</v>
      </c>
      <c r="Y126" s="223">
        <f t="shared" si="13"/>
        <v>0</v>
      </c>
      <c r="Z126" s="216"/>
      <c r="AD126" s="20" t="str">
        <f t="shared" si="7"/>
        <v>7510OTROS PRODUCTOS</v>
      </c>
      <c r="AE126" s="20" t="e">
        <f>+VLOOKUP(AD126,Catálogo!E:F,2,0)</f>
        <v>#N/A</v>
      </c>
      <c r="AF126" s="20">
        <f>+VLOOKUP(AD126,Catálogo!E:G,3,0)</f>
        <v>0</v>
      </c>
    </row>
    <row r="127" spans="1:32">
      <c r="A127" s="14">
        <v>751</v>
      </c>
      <c r="B127" s="14">
        <v>2</v>
      </c>
      <c r="C127" s="15">
        <v>0</v>
      </c>
      <c r="D127" s="174" t="s">
        <v>115</v>
      </c>
      <c r="E127" s="13">
        <v>0</v>
      </c>
      <c r="F127" s="13">
        <v>0.1</v>
      </c>
      <c r="G127" s="13">
        <v>-4608209.79</v>
      </c>
      <c r="H127" s="13">
        <v>-4608209.6900000004</v>
      </c>
      <c r="I127" s="224"/>
      <c r="J127" s="194">
        <f t="shared" si="8"/>
        <v>-4608</v>
      </c>
      <c r="K127" s="201" t="str">
        <f t="shared" si="9"/>
        <v>Otr</v>
      </c>
      <c r="L127" s="201" t="str">
        <f t="shared" si="10"/>
        <v>ok</v>
      </c>
      <c r="M127" s="202">
        <f t="shared" si="11"/>
        <v>-4608</v>
      </c>
      <c r="N127" s="180"/>
      <c r="O127" s="202">
        <f t="shared" si="12"/>
        <v>-4608</v>
      </c>
      <c r="P127" s="203"/>
      <c r="Q127" s="224"/>
      <c r="R127" s="14">
        <v>751</v>
      </c>
      <c r="S127" s="14">
        <v>2</v>
      </c>
      <c r="T127" s="15">
        <v>0</v>
      </c>
      <c r="U127" s="174" t="s">
        <v>115</v>
      </c>
      <c r="V127" s="17">
        <v>0</v>
      </c>
      <c r="W127" s="17">
        <v>0.1</v>
      </c>
      <c r="X127" s="17">
        <v>-4608209.79</v>
      </c>
      <c r="Y127" s="223">
        <f t="shared" si="13"/>
        <v>-4608</v>
      </c>
      <c r="Z127" s="216"/>
      <c r="AD127" s="20" t="str">
        <f t="shared" si="7"/>
        <v>7512OTROS INGRESOS</v>
      </c>
      <c r="AE127" s="20" t="str">
        <f>+VLOOKUP(AD127,Catálogo!E:F,2,0)</f>
        <v>Otros ingresos</v>
      </c>
      <c r="AF127" s="20">
        <f>+VLOOKUP(AD127,Catálogo!E:G,3,0)</f>
        <v>0</v>
      </c>
    </row>
    <row r="128" spans="1:32">
      <c r="A128" s="6">
        <v>752</v>
      </c>
      <c r="B128" s="6">
        <v>0</v>
      </c>
      <c r="C128" s="7">
        <v>0</v>
      </c>
      <c r="D128" s="218" t="s">
        <v>116</v>
      </c>
      <c r="E128" s="22">
        <v>0</v>
      </c>
      <c r="F128" s="22">
        <v>44</v>
      </c>
      <c r="G128" s="22">
        <v>0</v>
      </c>
      <c r="H128" s="22">
        <v>44</v>
      </c>
      <c r="I128" s="223"/>
      <c r="J128" s="194">
        <f t="shared" si="8"/>
        <v>0</v>
      </c>
      <c r="K128" s="201" t="str">
        <f t="shared" si="9"/>
        <v>0</v>
      </c>
      <c r="L128" s="201">
        <f t="shared" si="10"/>
        <v>0</v>
      </c>
      <c r="M128" s="202">
        <f t="shared" si="11"/>
        <v>0</v>
      </c>
      <c r="N128" s="180"/>
      <c r="O128" s="202">
        <f t="shared" si="12"/>
        <v>0</v>
      </c>
      <c r="P128" s="203"/>
      <c r="Q128" s="223"/>
      <c r="R128" s="6">
        <v>752</v>
      </c>
      <c r="S128" s="6">
        <v>0</v>
      </c>
      <c r="T128" s="7">
        <v>0</v>
      </c>
      <c r="U128" s="218" t="s">
        <v>116</v>
      </c>
      <c r="V128" s="22">
        <v>0</v>
      </c>
      <c r="W128" s="22">
        <v>44</v>
      </c>
      <c r="X128" s="22">
        <v>0</v>
      </c>
      <c r="Y128" s="223">
        <f t="shared" si="13"/>
        <v>0</v>
      </c>
      <c r="Z128" s="216"/>
      <c r="AD128" s="20" t="str">
        <f t="shared" si="7"/>
        <v>7520OTROS GASTOS</v>
      </c>
      <c r="AE128" s="20">
        <f>+VLOOKUP(AD128,Catálogo!E:F,2,0)</f>
        <v>0</v>
      </c>
      <c r="AF128" s="20">
        <f>+VLOOKUP(AD128,Catálogo!E:G,3,0)</f>
        <v>0</v>
      </c>
    </row>
    <row r="129" spans="1:32">
      <c r="A129" s="14">
        <v>752</v>
      </c>
      <c r="B129" s="14">
        <v>2</v>
      </c>
      <c r="C129" s="15">
        <v>0</v>
      </c>
      <c r="D129" s="174" t="s">
        <v>117</v>
      </c>
      <c r="E129" s="13">
        <v>0</v>
      </c>
      <c r="F129" s="13">
        <v>44</v>
      </c>
      <c r="G129" s="13">
        <v>0</v>
      </c>
      <c r="H129" s="13">
        <v>44</v>
      </c>
      <c r="I129" s="224"/>
      <c r="J129" s="194">
        <f t="shared" si="8"/>
        <v>0</v>
      </c>
      <c r="K129" s="201" t="str">
        <f t="shared" si="9"/>
        <v>Gas</v>
      </c>
      <c r="L129" s="201" t="str">
        <f t="shared" si="10"/>
        <v>ok</v>
      </c>
      <c r="M129" s="202">
        <f t="shared" si="11"/>
        <v>0</v>
      </c>
      <c r="N129" s="180"/>
      <c r="O129" s="202">
        <f t="shared" si="12"/>
        <v>0</v>
      </c>
      <c r="P129" s="203"/>
      <c r="Q129" s="224"/>
      <c r="R129" s="14">
        <v>752</v>
      </c>
      <c r="S129" s="14">
        <v>2</v>
      </c>
      <c r="T129" s="15">
        <v>0</v>
      </c>
      <c r="U129" s="174" t="s">
        <v>117</v>
      </c>
      <c r="V129" s="17">
        <v>0</v>
      </c>
      <c r="W129" s="17">
        <v>44</v>
      </c>
      <c r="X129" s="17">
        <v>0</v>
      </c>
      <c r="Y129" s="223">
        <f t="shared" si="13"/>
        <v>0</v>
      </c>
      <c r="Z129" s="216"/>
      <c r="AD129" s="20" t="str">
        <f t="shared" si="7"/>
        <v>7522RECARGOS</v>
      </c>
      <c r="AE129" s="20" t="str">
        <f>+VLOOKUP(AD129,Catálogo!E:F,2,0)</f>
        <v>Gastos operativos</v>
      </c>
      <c r="AF129" s="20">
        <f>+VLOOKUP(AD129,Catálogo!E:G,3,0)</f>
        <v>0</v>
      </c>
    </row>
    <row r="130" spans="1:32">
      <c r="J130" s="194">
        <f t="shared" si="8"/>
        <v>0</v>
      </c>
      <c r="K130" s="201">
        <f t="shared" si="9"/>
        <v>0</v>
      </c>
      <c r="L130" s="201">
        <f t="shared" si="10"/>
        <v>0</v>
      </c>
      <c r="M130" s="202">
        <f t="shared" si="11"/>
        <v>0</v>
      </c>
      <c r="N130" s="180"/>
      <c r="O130" s="202">
        <f t="shared" si="12"/>
        <v>0</v>
      </c>
      <c r="P130" s="203"/>
      <c r="R130" s="216"/>
      <c r="S130" s="216"/>
      <c r="T130" s="216"/>
      <c r="U130" s="216"/>
      <c r="V130" s="216"/>
      <c r="W130" s="216"/>
      <c r="X130" s="216"/>
      <c r="Y130" s="216"/>
      <c r="Z130" s="216"/>
      <c r="AD130" s="20" t="str">
        <f t="shared" si="7"/>
        <v/>
      </c>
      <c r="AE130" s="20" t="e">
        <f>+VLOOKUP(AD130,Catálogo!E:F,2,0)</f>
        <v>#N/A</v>
      </c>
      <c r="AF130" s="20" t="e">
        <f>+VLOOKUP(AD130,Catálogo!E:G,3,0)</f>
        <v>#N/A</v>
      </c>
    </row>
    <row r="131" spans="1:32">
      <c r="J131" s="194">
        <f t="shared" si="8"/>
        <v>0</v>
      </c>
      <c r="K131" s="201">
        <f t="shared" si="9"/>
        <v>0</v>
      </c>
      <c r="L131" s="201">
        <f t="shared" si="10"/>
        <v>0</v>
      </c>
      <c r="M131" s="202">
        <f t="shared" si="11"/>
        <v>0</v>
      </c>
      <c r="N131" s="180"/>
      <c r="O131" s="202">
        <f t="shared" si="12"/>
        <v>0</v>
      </c>
      <c r="P131" s="203"/>
      <c r="R131" s="216"/>
      <c r="S131" s="216"/>
      <c r="T131" s="216"/>
      <c r="U131" s="216"/>
      <c r="V131" s="216"/>
      <c r="W131" s="216"/>
      <c r="X131" s="216"/>
      <c r="Y131" s="216"/>
      <c r="Z131" s="216"/>
      <c r="AD131" s="20" t="str">
        <f t="shared" si="7"/>
        <v/>
      </c>
      <c r="AE131" s="20" t="e">
        <f>+VLOOKUP(AD131,Catálogo!E:F,2,0)</f>
        <v>#N/A</v>
      </c>
      <c r="AF131" s="20" t="e">
        <f>+VLOOKUP(AD131,Catálogo!E:G,3,0)</f>
        <v>#N/A</v>
      </c>
    </row>
    <row r="132" spans="1:32">
      <c r="J132" s="194">
        <f t="shared" si="8"/>
        <v>0</v>
      </c>
      <c r="K132" s="201">
        <f t="shared" si="9"/>
        <v>0</v>
      </c>
      <c r="L132" s="201">
        <f t="shared" si="10"/>
        <v>0</v>
      </c>
      <c r="M132" s="202">
        <f t="shared" si="11"/>
        <v>0</v>
      </c>
      <c r="N132" s="180"/>
      <c r="O132" s="202">
        <f t="shared" si="12"/>
        <v>0</v>
      </c>
      <c r="P132" s="203"/>
      <c r="R132" s="216"/>
      <c r="S132" s="216"/>
      <c r="T132" s="216"/>
      <c r="U132" s="216"/>
      <c r="V132" s="216"/>
      <c r="W132" s="216"/>
      <c r="X132" s="216"/>
      <c r="Y132" s="216"/>
      <c r="Z132" s="216"/>
      <c r="AD132" s="20" t="str">
        <f t="shared" si="7"/>
        <v/>
      </c>
      <c r="AE132" s="20" t="e">
        <f>+VLOOKUP(AD132,Catálogo!E:F,2,0)</f>
        <v>#N/A</v>
      </c>
      <c r="AF132" s="20" t="e">
        <f>+VLOOKUP(AD132,Catálogo!E:G,3,0)</f>
        <v>#N/A</v>
      </c>
    </row>
    <row r="133" spans="1:32">
      <c r="J133" s="194">
        <f t="shared" si="8"/>
        <v>0</v>
      </c>
      <c r="K133" s="201">
        <f t="shared" si="9"/>
        <v>0</v>
      </c>
      <c r="L133" s="201">
        <f t="shared" si="10"/>
        <v>0</v>
      </c>
      <c r="M133" s="202">
        <f t="shared" si="11"/>
        <v>0</v>
      </c>
      <c r="N133" s="180"/>
      <c r="O133" s="202">
        <f t="shared" si="12"/>
        <v>0</v>
      </c>
      <c r="P133" s="203"/>
      <c r="R133" s="216"/>
      <c r="S133" s="216"/>
      <c r="T133" s="216"/>
      <c r="U133" s="216"/>
      <c r="V133" s="216"/>
      <c r="W133" s="216"/>
      <c r="X133" s="216"/>
      <c r="Y133" s="216"/>
      <c r="Z133" s="216"/>
      <c r="AD133" s="20" t="str">
        <f t="shared" si="7"/>
        <v/>
      </c>
      <c r="AE133" s="20" t="e">
        <f>+VLOOKUP(AD133,Catálogo!E:F,2,0)</f>
        <v>#N/A</v>
      </c>
      <c r="AF133" s="20" t="e">
        <f>+VLOOKUP(AD133,Catálogo!E:G,3,0)</f>
        <v>#N/A</v>
      </c>
    </row>
    <row r="134" spans="1:32">
      <c r="J134" s="194">
        <f t="shared" si="8"/>
        <v>0</v>
      </c>
      <c r="K134" s="201">
        <f t="shared" si="9"/>
        <v>0</v>
      </c>
      <c r="L134" s="201">
        <f t="shared" si="10"/>
        <v>0</v>
      </c>
      <c r="M134" s="202">
        <f t="shared" si="11"/>
        <v>0</v>
      </c>
      <c r="N134" s="180"/>
      <c r="O134" s="202">
        <f t="shared" si="12"/>
        <v>0</v>
      </c>
      <c r="P134" s="203"/>
      <c r="R134" s="216"/>
      <c r="S134" s="216"/>
      <c r="T134" s="216"/>
      <c r="U134" s="216"/>
      <c r="V134" s="216"/>
      <c r="W134" s="216"/>
      <c r="X134" s="216"/>
      <c r="Y134" s="216"/>
      <c r="Z134" s="216"/>
      <c r="AD134" s="20" t="str">
        <f t="shared" si="7"/>
        <v/>
      </c>
      <c r="AE134" s="20" t="e">
        <f>+VLOOKUP(AD134,Catálogo!E:F,2,0)</f>
        <v>#N/A</v>
      </c>
      <c r="AF134" s="20" t="e">
        <f>+VLOOKUP(AD134,Catálogo!E:G,3,0)</f>
        <v>#N/A</v>
      </c>
    </row>
    <row r="135" spans="1:32">
      <c r="J135" s="194">
        <f t="shared" si="8"/>
        <v>0</v>
      </c>
      <c r="K135" s="201">
        <f t="shared" si="9"/>
        <v>0</v>
      </c>
      <c r="L135" s="201">
        <f t="shared" si="10"/>
        <v>0</v>
      </c>
      <c r="M135" s="202">
        <f t="shared" si="11"/>
        <v>0</v>
      </c>
      <c r="N135" s="180"/>
      <c r="O135" s="202">
        <f t="shared" si="12"/>
        <v>0</v>
      </c>
      <c r="P135" s="203"/>
      <c r="R135" s="216"/>
      <c r="S135" s="216"/>
      <c r="T135" s="216"/>
      <c r="U135" s="216"/>
      <c r="V135" s="216"/>
      <c r="W135" s="216"/>
      <c r="X135" s="216"/>
      <c r="Y135" s="216"/>
      <c r="Z135" s="216"/>
      <c r="AD135" s="20" t="str">
        <f t="shared" si="7"/>
        <v/>
      </c>
      <c r="AE135" s="20" t="e">
        <f>+VLOOKUP(AD135,Catálogo!E:F,2,0)</f>
        <v>#N/A</v>
      </c>
      <c r="AF135" s="20" t="e">
        <f>+VLOOKUP(AD135,Catálogo!E:G,3,0)</f>
        <v>#N/A</v>
      </c>
    </row>
    <row r="136" spans="1:32">
      <c r="J136" s="194">
        <f t="shared" si="8"/>
        <v>0</v>
      </c>
      <c r="K136" s="201">
        <f t="shared" si="9"/>
        <v>0</v>
      </c>
      <c r="L136" s="201">
        <f t="shared" si="10"/>
        <v>0</v>
      </c>
      <c r="M136" s="202">
        <f t="shared" si="11"/>
        <v>0</v>
      </c>
      <c r="N136" s="180"/>
      <c r="O136" s="202">
        <f t="shared" si="12"/>
        <v>0</v>
      </c>
      <c r="P136" s="203"/>
      <c r="R136" s="216"/>
      <c r="S136" s="216"/>
      <c r="T136" s="216"/>
      <c r="U136" s="216"/>
      <c r="V136" s="216"/>
      <c r="W136" s="216"/>
      <c r="X136" s="216"/>
      <c r="Y136" s="216"/>
      <c r="Z136" s="216"/>
      <c r="AD136" s="20" t="str">
        <f t="shared" si="7"/>
        <v/>
      </c>
      <c r="AE136" s="20" t="e">
        <f>+VLOOKUP(AD136,Catálogo!E:F,2,0)</f>
        <v>#N/A</v>
      </c>
      <c r="AF136" s="20" t="e">
        <f>+VLOOKUP(AD136,Catálogo!E:G,3,0)</f>
        <v>#N/A</v>
      </c>
    </row>
    <row r="137" spans="1:32">
      <c r="A137" s="216"/>
      <c r="B137" s="216"/>
      <c r="C137" s="216"/>
      <c r="D137" s="216"/>
      <c r="E137" s="217"/>
      <c r="F137" s="217"/>
      <c r="G137" s="217"/>
      <c r="H137" s="217"/>
      <c r="I137" s="226"/>
      <c r="J137" s="194">
        <f t="shared" si="8"/>
        <v>0</v>
      </c>
      <c r="K137" s="201">
        <f t="shared" si="9"/>
        <v>0</v>
      </c>
      <c r="L137" s="201">
        <f t="shared" si="10"/>
        <v>0</v>
      </c>
      <c r="M137" s="202">
        <f t="shared" si="11"/>
        <v>0</v>
      </c>
      <c r="N137" s="180"/>
      <c r="O137" s="202">
        <f t="shared" si="12"/>
        <v>0</v>
      </c>
      <c r="P137" s="203"/>
      <c r="Q137" s="226"/>
      <c r="R137" s="216"/>
      <c r="S137" s="216"/>
      <c r="T137" s="216"/>
      <c r="U137" s="216"/>
      <c r="V137" s="216"/>
      <c r="W137" s="216"/>
      <c r="X137" s="216"/>
      <c r="Y137" s="216"/>
      <c r="Z137" s="216"/>
      <c r="AD137" s="20" t="str">
        <f t="shared" si="7"/>
        <v/>
      </c>
      <c r="AE137" s="20" t="e">
        <f>+VLOOKUP(AD137,Catálogo!E:F,2,0)</f>
        <v>#N/A</v>
      </c>
      <c r="AF137" s="20" t="e">
        <f>+VLOOKUP(AD137,Catálogo!E:G,3,0)</f>
        <v>#N/A</v>
      </c>
    </row>
    <row r="138" spans="1:32">
      <c r="A138" s="216"/>
      <c r="B138" s="216"/>
      <c r="C138" s="216"/>
      <c r="D138" s="216"/>
      <c r="E138" s="217"/>
      <c r="F138" s="217"/>
      <c r="G138" s="217"/>
      <c r="H138" s="217"/>
      <c r="I138" s="226"/>
      <c r="J138" s="194">
        <f t="shared" si="8"/>
        <v>0</v>
      </c>
      <c r="K138" s="201">
        <f t="shared" si="9"/>
        <v>0</v>
      </c>
      <c r="L138" s="201">
        <f t="shared" si="10"/>
        <v>0</v>
      </c>
      <c r="M138" s="202">
        <f t="shared" si="11"/>
        <v>0</v>
      </c>
      <c r="N138" s="180"/>
      <c r="O138" s="202">
        <f t="shared" si="12"/>
        <v>0</v>
      </c>
      <c r="P138" s="203"/>
      <c r="Q138" s="226"/>
      <c r="R138" s="216"/>
      <c r="S138" s="216"/>
      <c r="T138" s="216"/>
      <c r="U138" s="216"/>
      <c r="V138" s="216"/>
      <c r="W138" s="216"/>
      <c r="X138" s="216"/>
      <c r="Y138" s="216"/>
      <c r="Z138" s="216"/>
      <c r="AD138" s="20" t="str">
        <f t="shared" si="7"/>
        <v/>
      </c>
      <c r="AE138" s="20" t="e">
        <f>+VLOOKUP(AD138,Catálogo!E:F,2,0)</f>
        <v>#N/A</v>
      </c>
      <c r="AF138" s="20" t="e">
        <f>+VLOOKUP(AD138,Catálogo!E:G,3,0)</f>
        <v>#N/A</v>
      </c>
    </row>
    <row r="139" spans="1:32">
      <c r="A139" s="216"/>
      <c r="B139" s="216"/>
      <c r="C139" s="216"/>
      <c r="D139" s="216"/>
      <c r="E139" s="217"/>
      <c r="F139" s="217"/>
      <c r="G139" s="217"/>
      <c r="H139" s="217"/>
      <c r="I139" s="226"/>
      <c r="J139" s="194">
        <f t="shared" si="8"/>
        <v>0</v>
      </c>
      <c r="K139" s="201">
        <f t="shared" si="9"/>
        <v>0</v>
      </c>
      <c r="L139" s="201">
        <f t="shared" si="10"/>
        <v>0</v>
      </c>
      <c r="M139" s="202">
        <f t="shared" si="11"/>
        <v>0</v>
      </c>
      <c r="N139" s="180"/>
      <c r="O139" s="202">
        <f t="shared" si="12"/>
        <v>0</v>
      </c>
      <c r="P139" s="203"/>
      <c r="Q139" s="226"/>
      <c r="R139" s="216"/>
      <c r="S139" s="216"/>
      <c r="T139" s="216"/>
      <c r="U139" s="216"/>
      <c r="V139" s="216"/>
      <c r="W139" s="216"/>
      <c r="X139" s="216"/>
      <c r="Y139" s="216"/>
      <c r="Z139" s="216"/>
      <c r="AD139" s="20" t="str">
        <f t="shared" ref="AD139:AD202" si="14">+CONCATENATE(A139,B139,D139)</f>
        <v/>
      </c>
      <c r="AE139" s="20" t="e">
        <f>+VLOOKUP(AD139,Catálogo!E:F,2,0)</f>
        <v>#N/A</v>
      </c>
      <c r="AF139" s="20" t="e">
        <f>+VLOOKUP(AD139,Catálogo!E:G,3,0)</f>
        <v>#N/A</v>
      </c>
    </row>
    <row r="140" spans="1:32">
      <c r="A140" s="216"/>
      <c r="B140" s="216"/>
      <c r="C140" s="216"/>
      <c r="D140" s="216"/>
      <c r="E140" s="217"/>
      <c r="F140" s="217"/>
      <c r="G140" s="217"/>
      <c r="H140" s="217"/>
      <c r="I140" s="226"/>
      <c r="J140" s="194">
        <f t="shared" ref="J140:J203" si="15">+ROUND(H140/1000,0)</f>
        <v>0</v>
      </c>
      <c r="K140" s="201">
        <f t="shared" ref="K140:K203" si="16">+IFERROR(LEFT(AE140,3),0)</f>
        <v>0</v>
      </c>
      <c r="L140" s="201">
        <f t="shared" ref="L140:L203" si="17">+IFERROR(ABS(K140),"ok")</f>
        <v>0</v>
      </c>
      <c r="M140" s="202">
        <f t="shared" ref="M140:M203" si="18">+IF(L140="ok",J140,0)</f>
        <v>0</v>
      </c>
      <c r="N140" s="180"/>
      <c r="O140" s="202">
        <f t="shared" ref="O140:O203" si="19">+M140+N140</f>
        <v>0</v>
      </c>
      <c r="P140" s="203"/>
      <c r="Q140" s="226"/>
      <c r="R140" s="216"/>
      <c r="S140" s="216"/>
      <c r="T140" s="216"/>
      <c r="U140" s="216"/>
      <c r="V140" s="216"/>
      <c r="W140" s="216"/>
      <c r="X140" s="216"/>
      <c r="Y140" s="216"/>
      <c r="Z140" s="216"/>
      <c r="AD140" s="20" t="str">
        <f t="shared" si="14"/>
        <v/>
      </c>
      <c r="AE140" s="20" t="e">
        <f>+VLOOKUP(AD140,Catálogo!E:F,2,0)</f>
        <v>#N/A</v>
      </c>
      <c r="AF140" s="20" t="e">
        <f>+VLOOKUP(AD140,Catálogo!E:G,3,0)</f>
        <v>#N/A</v>
      </c>
    </row>
    <row r="141" spans="1:32">
      <c r="A141" s="216"/>
      <c r="B141" s="216"/>
      <c r="C141" s="216"/>
      <c r="D141" s="216"/>
      <c r="E141" s="217"/>
      <c r="F141" s="217"/>
      <c r="G141" s="217"/>
      <c r="H141" s="217"/>
      <c r="I141" s="226"/>
      <c r="J141" s="194">
        <f t="shared" si="15"/>
        <v>0</v>
      </c>
      <c r="K141" s="201">
        <f t="shared" si="16"/>
        <v>0</v>
      </c>
      <c r="L141" s="201">
        <f t="shared" si="17"/>
        <v>0</v>
      </c>
      <c r="M141" s="202">
        <f t="shared" si="18"/>
        <v>0</v>
      </c>
      <c r="N141" s="180"/>
      <c r="O141" s="202">
        <f t="shared" si="19"/>
        <v>0</v>
      </c>
      <c r="P141" s="203"/>
      <c r="Q141" s="226"/>
      <c r="R141" s="216"/>
      <c r="S141" s="216"/>
      <c r="T141" s="216"/>
      <c r="U141" s="216"/>
      <c r="V141" s="216"/>
      <c r="W141" s="216"/>
      <c r="X141" s="216"/>
      <c r="Y141" s="216"/>
      <c r="Z141" s="216"/>
      <c r="AD141" s="20" t="str">
        <f t="shared" si="14"/>
        <v/>
      </c>
      <c r="AE141" s="20" t="e">
        <f>+VLOOKUP(AD141,Catálogo!E:F,2,0)</f>
        <v>#N/A</v>
      </c>
      <c r="AF141" s="20" t="e">
        <f>+VLOOKUP(AD141,Catálogo!E:G,3,0)</f>
        <v>#N/A</v>
      </c>
    </row>
    <row r="142" spans="1:32">
      <c r="A142" s="216"/>
      <c r="B142" s="216"/>
      <c r="C142" s="216"/>
      <c r="D142" s="216"/>
      <c r="E142" s="217"/>
      <c r="F142" s="217"/>
      <c r="G142" s="217"/>
      <c r="H142" s="217"/>
      <c r="I142" s="226"/>
      <c r="J142" s="194">
        <f t="shared" si="15"/>
        <v>0</v>
      </c>
      <c r="K142" s="201">
        <f t="shared" si="16"/>
        <v>0</v>
      </c>
      <c r="L142" s="201">
        <f t="shared" si="17"/>
        <v>0</v>
      </c>
      <c r="M142" s="202">
        <f t="shared" si="18"/>
        <v>0</v>
      </c>
      <c r="N142" s="180"/>
      <c r="O142" s="202">
        <f t="shared" si="19"/>
        <v>0</v>
      </c>
      <c r="P142" s="203"/>
      <c r="Q142" s="226"/>
      <c r="R142" s="216"/>
      <c r="S142" s="216"/>
      <c r="T142" s="216"/>
      <c r="U142" s="216"/>
      <c r="V142" s="216"/>
      <c r="W142" s="216"/>
      <c r="X142" s="216"/>
      <c r="Y142" s="216"/>
      <c r="Z142" s="216"/>
      <c r="AD142" s="20" t="str">
        <f t="shared" si="14"/>
        <v/>
      </c>
      <c r="AE142" s="20" t="e">
        <f>+VLOOKUP(AD142,Catálogo!E:F,2,0)</f>
        <v>#N/A</v>
      </c>
      <c r="AF142" s="20" t="e">
        <f>+VLOOKUP(AD142,Catálogo!E:G,3,0)</f>
        <v>#N/A</v>
      </c>
    </row>
    <row r="143" spans="1:32">
      <c r="A143" s="216"/>
      <c r="B143" s="216"/>
      <c r="C143" s="216"/>
      <c r="D143" s="216"/>
      <c r="E143" s="217"/>
      <c r="F143" s="217"/>
      <c r="G143" s="217"/>
      <c r="H143" s="217"/>
      <c r="I143" s="226"/>
      <c r="J143" s="194">
        <f t="shared" si="15"/>
        <v>0</v>
      </c>
      <c r="K143" s="201">
        <f t="shared" si="16"/>
        <v>0</v>
      </c>
      <c r="L143" s="201">
        <f t="shared" si="17"/>
        <v>0</v>
      </c>
      <c r="M143" s="202">
        <f t="shared" si="18"/>
        <v>0</v>
      </c>
      <c r="N143" s="180"/>
      <c r="O143" s="202">
        <f t="shared" si="19"/>
        <v>0</v>
      </c>
      <c r="P143" s="203"/>
      <c r="Q143" s="226"/>
      <c r="R143" s="216"/>
      <c r="S143" s="216"/>
      <c r="T143" s="216"/>
      <c r="U143" s="216"/>
      <c r="V143" s="216"/>
      <c r="W143" s="216"/>
      <c r="X143" s="216"/>
      <c r="Y143" s="216"/>
      <c r="Z143" s="216"/>
      <c r="AD143" s="20" t="str">
        <f t="shared" si="14"/>
        <v/>
      </c>
      <c r="AE143" s="20" t="e">
        <f>+VLOOKUP(AD143,Catálogo!E:F,2,0)</f>
        <v>#N/A</v>
      </c>
      <c r="AF143" s="20" t="e">
        <f>+VLOOKUP(AD143,Catálogo!E:G,3,0)</f>
        <v>#N/A</v>
      </c>
    </row>
    <row r="144" spans="1:32">
      <c r="A144" s="216"/>
      <c r="B144" s="216"/>
      <c r="C144" s="216"/>
      <c r="D144" s="216"/>
      <c r="E144" s="217"/>
      <c r="F144" s="217"/>
      <c r="G144" s="217"/>
      <c r="H144" s="217"/>
      <c r="I144" s="226"/>
      <c r="J144" s="194">
        <f t="shared" si="15"/>
        <v>0</v>
      </c>
      <c r="K144" s="201">
        <f t="shared" si="16"/>
        <v>0</v>
      </c>
      <c r="L144" s="201">
        <f t="shared" si="17"/>
        <v>0</v>
      </c>
      <c r="M144" s="202">
        <f t="shared" si="18"/>
        <v>0</v>
      </c>
      <c r="N144" s="180"/>
      <c r="O144" s="202">
        <f t="shared" si="19"/>
        <v>0</v>
      </c>
      <c r="P144" s="203"/>
      <c r="Q144" s="226"/>
      <c r="R144" s="216"/>
      <c r="S144" s="216"/>
      <c r="T144" s="216"/>
      <c r="U144" s="216"/>
      <c r="V144" s="216"/>
      <c r="W144" s="216"/>
      <c r="X144" s="216"/>
      <c r="Y144" s="216"/>
      <c r="Z144" s="216"/>
      <c r="AD144" s="20" t="str">
        <f t="shared" si="14"/>
        <v/>
      </c>
      <c r="AE144" s="20" t="e">
        <f>+VLOOKUP(AD144,Catálogo!E:F,2,0)</f>
        <v>#N/A</v>
      </c>
      <c r="AF144" s="20" t="e">
        <f>+VLOOKUP(AD144,Catálogo!E:G,3,0)</f>
        <v>#N/A</v>
      </c>
    </row>
    <row r="145" spans="1:32">
      <c r="A145" s="216"/>
      <c r="B145" s="216"/>
      <c r="C145" s="216"/>
      <c r="D145" s="216"/>
      <c r="E145" s="217"/>
      <c r="F145" s="217"/>
      <c r="G145" s="217"/>
      <c r="H145" s="217"/>
      <c r="I145" s="226"/>
      <c r="J145" s="194">
        <f t="shared" si="15"/>
        <v>0</v>
      </c>
      <c r="K145" s="201">
        <f t="shared" si="16"/>
        <v>0</v>
      </c>
      <c r="L145" s="201">
        <f t="shared" si="17"/>
        <v>0</v>
      </c>
      <c r="M145" s="202">
        <f t="shared" si="18"/>
        <v>0</v>
      </c>
      <c r="N145" s="180"/>
      <c r="O145" s="202">
        <f t="shared" si="19"/>
        <v>0</v>
      </c>
      <c r="P145" s="203"/>
      <c r="Q145" s="226"/>
      <c r="R145" s="216"/>
      <c r="S145" s="216"/>
      <c r="T145" s="216"/>
      <c r="U145" s="216"/>
      <c r="V145" s="216"/>
      <c r="W145" s="216"/>
      <c r="X145" s="216"/>
      <c r="Y145" s="216"/>
      <c r="Z145" s="216"/>
      <c r="AD145" s="20" t="str">
        <f t="shared" si="14"/>
        <v/>
      </c>
      <c r="AE145" s="20" t="e">
        <f>+VLOOKUP(AD145,Catálogo!E:F,2,0)</f>
        <v>#N/A</v>
      </c>
      <c r="AF145" s="20" t="e">
        <f>+VLOOKUP(AD145,Catálogo!E:G,3,0)</f>
        <v>#N/A</v>
      </c>
    </row>
    <row r="146" spans="1:32">
      <c r="A146" s="216"/>
      <c r="B146" s="216"/>
      <c r="C146" s="216"/>
      <c r="D146" s="216"/>
      <c r="E146" s="217"/>
      <c r="F146" s="217"/>
      <c r="G146" s="217"/>
      <c r="H146" s="217"/>
      <c r="I146" s="226"/>
      <c r="J146" s="194">
        <f t="shared" si="15"/>
        <v>0</v>
      </c>
      <c r="K146" s="201">
        <f t="shared" si="16"/>
        <v>0</v>
      </c>
      <c r="L146" s="201">
        <f t="shared" si="17"/>
        <v>0</v>
      </c>
      <c r="M146" s="202">
        <f t="shared" si="18"/>
        <v>0</v>
      </c>
      <c r="N146" s="180"/>
      <c r="O146" s="202">
        <f t="shared" si="19"/>
        <v>0</v>
      </c>
      <c r="P146" s="203"/>
      <c r="Q146" s="226"/>
      <c r="R146" s="216"/>
      <c r="S146" s="216"/>
      <c r="T146" s="216"/>
      <c r="U146" s="216"/>
      <c r="V146" s="216"/>
      <c r="W146" s="216"/>
      <c r="X146" s="216"/>
      <c r="Y146" s="216"/>
      <c r="Z146" s="216"/>
      <c r="AD146" s="20" t="str">
        <f t="shared" si="14"/>
        <v/>
      </c>
      <c r="AE146" s="20" t="e">
        <f>+VLOOKUP(AD146,Catálogo!E:F,2,0)</f>
        <v>#N/A</v>
      </c>
      <c r="AF146" s="20" t="e">
        <f>+VLOOKUP(AD146,Catálogo!E:G,3,0)</f>
        <v>#N/A</v>
      </c>
    </row>
    <row r="147" spans="1:32">
      <c r="A147" s="216"/>
      <c r="B147" s="216"/>
      <c r="C147" s="216"/>
      <c r="D147" s="216"/>
      <c r="E147" s="217"/>
      <c r="F147" s="217"/>
      <c r="G147" s="217"/>
      <c r="H147" s="217"/>
      <c r="I147" s="226"/>
      <c r="J147" s="194">
        <f t="shared" si="15"/>
        <v>0</v>
      </c>
      <c r="K147" s="201">
        <f t="shared" si="16"/>
        <v>0</v>
      </c>
      <c r="L147" s="201">
        <f t="shared" si="17"/>
        <v>0</v>
      </c>
      <c r="M147" s="202">
        <f t="shared" si="18"/>
        <v>0</v>
      </c>
      <c r="N147" s="180"/>
      <c r="O147" s="202">
        <f t="shared" si="19"/>
        <v>0</v>
      </c>
      <c r="P147" s="203"/>
      <c r="Q147" s="226"/>
      <c r="R147" s="216"/>
      <c r="S147" s="216"/>
      <c r="T147" s="216"/>
      <c r="U147" s="216"/>
      <c r="V147" s="216"/>
      <c r="W147" s="216"/>
      <c r="X147" s="216"/>
      <c r="Y147" s="216"/>
      <c r="Z147" s="216"/>
      <c r="AD147" s="20" t="str">
        <f t="shared" si="14"/>
        <v/>
      </c>
      <c r="AE147" s="20" t="e">
        <f>+VLOOKUP(AD147,Catálogo!E:F,2,0)</f>
        <v>#N/A</v>
      </c>
      <c r="AF147" s="20" t="e">
        <f>+VLOOKUP(AD147,Catálogo!E:G,3,0)</f>
        <v>#N/A</v>
      </c>
    </row>
    <row r="148" spans="1:32">
      <c r="A148" s="216"/>
      <c r="B148" s="216"/>
      <c r="C148" s="216"/>
      <c r="D148" s="216"/>
      <c r="E148" s="217"/>
      <c r="F148" s="217"/>
      <c r="G148" s="217"/>
      <c r="H148" s="217"/>
      <c r="I148" s="226"/>
      <c r="J148" s="194">
        <f t="shared" si="15"/>
        <v>0</v>
      </c>
      <c r="K148" s="201">
        <f t="shared" si="16"/>
        <v>0</v>
      </c>
      <c r="L148" s="201">
        <f t="shared" si="17"/>
        <v>0</v>
      </c>
      <c r="M148" s="202">
        <f t="shared" si="18"/>
        <v>0</v>
      </c>
      <c r="N148" s="180"/>
      <c r="O148" s="202">
        <f t="shared" si="19"/>
        <v>0</v>
      </c>
      <c r="P148" s="203"/>
      <c r="Q148" s="226"/>
      <c r="R148" s="216"/>
      <c r="S148" s="216"/>
      <c r="T148" s="216"/>
      <c r="U148" s="216"/>
      <c r="V148" s="216"/>
      <c r="W148" s="216"/>
      <c r="X148" s="216"/>
      <c r="Y148" s="216"/>
      <c r="Z148" s="216"/>
      <c r="AD148" s="20" t="str">
        <f t="shared" si="14"/>
        <v/>
      </c>
      <c r="AE148" s="20" t="e">
        <f>+VLOOKUP(AD148,Catálogo!E:F,2,0)</f>
        <v>#N/A</v>
      </c>
      <c r="AF148" s="20" t="e">
        <f>+VLOOKUP(AD148,Catálogo!E:G,3,0)</f>
        <v>#N/A</v>
      </c>
    </row>
    <row r="149" spans="1:32">
      <c r="A149" s="216"/>
      <c r="B149" s="216"/>
      <c r="C149" s="216"/>
      <c r="D149" s="216"/>
      <c r="E149" s="217"/>
      <c r="F149" s="217"/>
      <c r="G149" s="217"/>
      <c r="H149" s="217"/>
      <c r="I149" s="226"/>
      <c r="J149" s="194">
        <f t="shared" si="15"/>
        <v>0</v>
      </c>
      <c r="K149" s="201">
        <f t="shared" si="16"/>
        <v>0</v>
      </c>
      <c r="L149" s="201">
        <f t="shared" si="17"/>
        <v>0</v>
      </c>
      <c r="M149" s="202">
        <f t="shared" si="18"/>
        <v>0</v>
      </c>
      <c r="N149" s="180"/>
      <c r="O149" s="202">
        <f t="shared" si="19"/>
        <v>0</v>
      </c>
      <c r="P149" s="203"/>
      <c r="Q149" s="226"/>
      <c r="R149" s="216"/>
      <c r="S149" s="216"/>
      <c r="T149" s="216"/>
      <c r="U149" s="216"/>
      <c r="V149" s="216"/>
      <c r="W149" s="216"/>
      <c r="X149" s="216"/>
      <c r="Y149" s="216"/>
      <c r="Z149" s="216"/>
      <c r="AD149" s="20" t="str">
        <f t="shared" si="14"/>
        <v/>
      </c>
      <c r="AE149" s="20" t="e">
        <f>+VLOOKUP(AD149,Catálogo!E:F,2,0)</f>
        <v>#N/A</v>
      </c>
      <c r="AF149" s="20" t="e">
        <f>+VLOOKUP(AD149,Catálogo!E:G,3,0)</f>
        <v>#N/A</v>
      </c>
    </row>
    <row r="150" spans="1:32">
      <c r="A150" s="216"/>
      <c r="B150" s="216"/>
      <c r="C150" s="216"/>
      <c r="D150" s="216"/>
      <c r="E150" s="217"/>
      <c r="F150" s="217"/>
      <c r="G150" s="217"/>
      <c r="H150" s="217"/>
      <c r="I150" s="226"/>
      <c r="J150" s="194">
        <f t="shared" si="15"/>
        <v>0</v>
      </c>
      <c r="K150" s="201">
        <f t="shared" si="16"/>
        <v>0</v>
      </c>
      <c r="L150" s="201">
        <f t="shared" si="17"/>
        <v>0</v>
      </c>
      <c r="M150" s="202">
        <f t="shared" si="18"/>
        <v>0</v>
      </c>
      <c r="N150" s="180"/>
      <c r="O150" s="202">
        <f t="shared" si="19"/>
        <v>0</v>
      </c>
      <c r="P150" s="203"/>
      <c r="Q150" s="226"/>
      <c r="R150" s="216"/>
      <c r="S150" s="216"/>
      <c r="T150" s="216"/>
      <c r="U150" s="216"/>
      <c r="V150" s="216"/>
      <c r="W150" s="216"/>
      <c r="X150" s="216"/>
      <c r="Y150" s="216"/>
      <c r="Z150" s="216"/>
      <c r="AD150" s="20" t="str">
        <f t="shared" si="14"/>
        <v/>
      </c>
      <c r="AE150" s="20" t="e">
        <f>+VLOOKUP(AD150,Catálogo!E:F,2,0)</f>
        <v>#N/A</v>
      </c>
      <c r="AF150" s="20" t="e">
        <f>+VLOOKUP(AD150,Catálogo!E:G,3,0)</f>
        <v>#N/A</v>
      </c>
    </row>
    <row r="151" spans="1:32">
      <c r="A151" s="216"/>
      <c r="B151" s="216"/>
      <c r="C151" s="216"/>
      <c r="D151" s="216"/>
      <c r="E151" s="217"/>
      <c r="F151" s="217"/>
      <c r="G151" s="217"/>
      <c r="H151" s="217"/>
      <c r="I151" s="226"/>
      <c r="J151" s="194">
        <f t="shared" si="15"/>
        <v>0</v>
      </c>
      <c r="K151" s="201">
        <f t="shared" si="16"/>
        <v>0</v>
      </c>
      <c r="L151" s="201">
        <f t="shared" si="17"/>
        <v>0</v>
      </c>
      <c r="M151" s="202">
        <f t="shared" si="18"/>
        <v>0</v>
      </c>
      <c r="N151" s="180"/>
      <c r="O151" s="202">
        <f t="shared" si="19"/>
        <v>0</v>
      </c>
      <c r="P151" s="203"/>
      <c r="Q151" s="226"/>
      <c r="R151" s="216"/>
      <c r="S151" s="216"/>
      <c r="T151" s="216"/>
      <c r="U151" s="216"/>
      <c r="V151" s="216"/>
      <c r="W151" s="216"/>
      <c r="X151" s="216"/>
      <c r="Y151" s="216"/>
      <c r="Z151" s="216"/>
      <c r="AD151" s="20" t="str">
        <f t="shared" si="14"/>
        <v/>
      </c>
      <c r="AE151" s="20" t="e">
        <f>+VLOOKUP(AD151,Catálogo!E:F,2,0)</f>
        <v>#N/A</v>
      </c>
      <c r="AF151" s="20" t="e">
        <f>+VLOOKUP(AD151,Catálogo!E:G,3,0)</f>
        <v>#N/A</v>
      </c>
    </row>
    <row r="152" spans="1:32">
      <c r="A152" s="216"/>
      <c r="B152" s="216"/>
      <c r="C152" s="216"/>
      <c r="D152" s="216"/>
      <c r="E152" s="217"/>
      <c r="F152" s="217"/>
      <c r="G152" s="217"/>
      <c r="H152" s="217"/>
      <c r="I152" s="226"/>
      <c r="J152" s="194">
        <f t="shared" si="15"/>
        <v>0</v>
      </c>
      <c r="K152" s="201">
        <f t="shared" si="16"/>
        <v>0</v>
      </c>
      <c r="L152" s="201">
        <f t="shared" si="17"/>
        <v>0</v>
      </c>
      <c r="M152" s="202">
        <f t="shared" si="18"/>
        <v>0</v>
      </c>
      <c r="N152" s="180"/>
      <c r="O152" s="202">
        <f t="shared" si="19"/>
        <v>0</v>
      </c>
      <c r="P152" s="203"/>
      <c r="Q152" s="226"/>
      <c r="R152" s="216"/>
      <c r="S152" s="216"/>
      <c r="T152" s="216"/>
      <c r="U152" s="216"/>
      <c r="V152" s="216"/>
      <c r="W152" s="216"/>
      <c r="X152" s="216"/>
      <c r="Y152" s="216"/>
      <c r="Z152" s="216"/>
      <c r="AD152" s="20" t="str">
        <f t="shared" si="14"/>
        <v/>
      </c>
      <c r="AE152" s="20" t="e">
        <f>+VLOOKUP(AD152,Catálogo!E:F,2,0)</f>
        <v>#N/A</v>
      </c>
      <c r="AF152" s="20" t="e">
        <f>+VLOOKUP(AD152,Catálogo!E:G,3,0)</f>
        <v>#N/A</v>
      </c>
    </row>
    <row r="153" spans="1:32">
      <c r="A153" s="216"/>
      <c r="B153" s="216"/>
      <c r="C153" s="216"/>
      <c r="D153" s="216"/>
      <c r="E153" s="217"/>
      <c r="F153" s="217"/>
      <c r="G153" s="217"/>
      <c r="H153" s="217"/>
      <c r="I153" s="226"/>
      <c r="J153" s="194">
        <f t="shared" si="15"/>
        <v>0</v>
      </c>
      <c r="K153" s="201">
        <f t="shared" si="16"/>
        <v>0</v>
      </c>
      <c r="L153" s="201">
        <f t="shared" si="17"/>
        <v>0</v>
      </c>
      <c r="M153" s="202">
        <f t="shared" si="18"/>
        <v>0</v>
      </c>
      <c r="N153" s="180"/>
      <c r="O153" s="202">
        <f t="shared" si="19"/>
        <v>0</v>
      </c>
      <c r="P153" s="203"/>
      <c r="Q153" s="226"/>
      <c r="R153" s="216"/>
      <c r="S153" s="216"/>
      <c r="T153" s="216"/>
      <c r="U153" s="216"/>
      <c r="V153" s="216"/>
      <c r="W153" s="216"/>
      <c r="X153" s="216"/>
      <c r="Y153" s="216"/>
      <c r="Z153" s="216"/>
      <c r="AD153" s="20" t="str">
        <f t="shared" si="14"/>
        <v/>
      </c>
      <c r="AE153" s="20" t="e">
        <f>+VLOOKUP(AD153,Catálogo!E:F,2,0)</f>
        <v>#N/A</v>
      </c>
      <c r="AF153" s="20" t="e">
        <f>+VLOOKUP(AD153,Catálogo!E:G,3,0)</f>
        <v>#N/A</v>
      </c>
    </row>
    <row r="154" spans="1:32">
      <c r="A154" s="216"/>
      <c r="B154" s="216"/>
      <c r="C154" s="216"/>
      <c r="D154" s="216"/>
      <c r="E154" s="217"/>
      <c r="F154" s="217"/>
      <c r="G154" s="217"/>
      <c r="H154" s="217"/>
      <c r="I154" s="226"/>
      <c r="J154" s="194">
        <f t="shared" si="15"/>
        <v>0</v>
      </c>
      <c r="K154" s="201">
        <f t="shared" si="16"/>
        <v>0</v>
      </c>
      <c r="L154" s="201">
        <f t="shared" si="17"/>
        <v>0</v>
      </c>
      <c r="M154" s="202">
        <f t="shared" si="18"/>
        <v>0</v>
      </c>
      <c r="N154" s="180"/>
      <c r="O154" s="202">
        <f t="shared" si="19"/>
        <v>0</v>
      </c>
      <c r="P154" s="203"/>
      <c r="Q154" s="226"/>
      <c r="R154" s="216"/>
      <c r="S154" s="216"/>
      <c r="T154" s="216"/>
      <c r="U154" s="216"/>
      <c r="V154" s="216"/>
      <c r="W154" s="216"/>
      <c r="X154" s="216"/>
      <c r="Y154" s="216"/>
      <c r="Z154" s="216"/>
      <c r="AD154" s="20" t="str">
        <f t="shared" si="14"/>
        <v/>
      </c>
      <c r="AE154" s="20" t="e">
        <f>+VLOOKUP(AD154,Catálogo!E:F,2,0)</f>
        <v>#N/A</v>
      </c>
      <c r="AF154" s="20" t="e">
        <f>+VLOOKUP(AD154,Catálogo!E:G,3,0)</f>
        <v>#N/A</v>
      </c>
    </row>
    <row r="155" spans="1:32">
      <c r="A155" s="216"/>
      <c r="B155" s="216"/>
      <c r="C155" s="216"/>
      <c r="D155" s="216"/>
      <c r="E155" s="217"/>
      <c r="F155" s="217"/>
      <c r="G155" s="217"/>
      <c r="H155" s="217"/>
      <c r="I155" s="226"/>
      <c r="J155" s="194">
        <f t="shared" si="15"/>
        <v>0</v>
      </c>
      <c r="K155" s="201">
        <f t="shared" si="16"/>
        <v>0</v>
      </c>
      <c r="L155" s="201">
        <f t="shared" si="17"/>
        <v>0</v>
      </c>
      <c r="M155" s="202">
        <f t="shared" si="18"/>
        <v>0</v>
      </c>
      <c r="N155" s="180"/>
      <c r="O155" s="202">
        <f t="shared" si="19"/>
        <v>0</v>
      </c>
      <c r="P155" s="203"/>
      <c r="Q155" s="226"/>
      <c r="R155" s="216"/>
      <c r="S155" s="216"/>
      <c r="T155" s="216"/>
      <c r="U155" s="216"/>
      <c r="V155" s="216"/>
      <c r="W155" s="216"/>
      <c r="X155" s="216"/>
      <c r="Y155" s="216"/>
      <c r="Z155" s="216"/>
      <c r="AD155" s="20" t="str">
        <f t="shared" si="14"/>
        <v/>
      </c>
      <c r="AE155" s="20" t="e">
        <f>+VLOOKUP(AD155,Catálogo!E:F,2,0)</f>
        <v>#N/A</v>
      </c>
      <c r="AF155" s="20" t="e">
        <f>+VLOOKUP(AD155,Catálogo!E:G,3,0)</f>
        <v>#N/A</v>
      </c>
    </row>
    <row r="156" spans="1:32">
      <c r="J156" s="194">
        <f t="shared" si="15"/>
        <v>0</v>
      </c>
      <c r="K156" s="201">
        <f t="shared" si="16"/>
        <v>0</v>
      </c>
      <c r="L156" s="201">
        <f t="shared" si="17"/>
        <v>0</v>
      </c>
      <c r="M156" s="202">
        <f t="shared" si="18"/>
        <v>0</v>
      </c>
      <c r="N156" s="180"/>
      <c r="O156" s="202">
        <f t="shared" si="19"/>
        <v>0</v>
      </c>
      <c r="P156" s="203"/>
      <c r="AD156" s="20" t="str">
        <f t="shared" si="14"/>
        <v/>
      </c>
      <c r="AE156" s="20" t="e">
        <f>+VLOOKUP(AD156,Catálogo!E:F,2,0)</f>
        <v>#N/A</v>
      </c>
      <c r="AF156" s="20" t="e">
        <f>+VLOOKUP(AD156,Catálogo!E:G,3,0)</f>
        <v>#N/A</v>
      </c>
    </row>
    <row r="157" spans="1:32">
      <c r="J157" s="194">
        <f t="shared" si="15"/>
        <v>0</v>
      </c>
      <c r="K157" s="201">
        <f t="shared" si="16"/>
        <v>0</v>
      </c>
      <c r="L157" s="201">
        <f t="shared" si="17"/>
        <v>0</v>
      </c>
      <c r="M157" s="202">
        <f t="shared" si="18"/>
        <v>0</v>
      </c>
      <c r="N157" s="180"/>
      <c r="O157" s="202">
        <f t="shared" si="19"/>
        <v>0</v>
      </c>
      <c r="P157" s="203"/>
      <c r="AD157" s="20" t="str">
        <f t="shared" si="14"/>
        <v/>
      </c>
      <c r="AE157" s="20" t="e">
        <f>+VLOOKUP(AD157,Catálogo!E:F,2,0)</f>
        <v>#N/A</v>
      </c>
      <c r="AF157" s="20" t="e">
        <f>+VLOOKUP(AD157,Catálogo!E:G,3,0)</f>
        <v>#N/A</v>
      </c>
    </row>
    <row r="158" spans="1:32">
      <c r="J158" s="194">
        <f t="shared" si="15"/>
        <v>0</v>
      </c>
      <c r="K158" s="201">
        <f t="shared" si="16"/>
        <v>0</v>
      </c>
      <c r="L158" s="201">
        <f t="shared" si="17"/>
        <v>0</v>
      </c>
      <c r="M158" s="202">
        <f t="shared" si="18"/>
        <v>0</v>
      </c>
      <c r="N158" s="180"/>
      <c r="O158" s="202">
        <f t="shared" si="19"/>
        <v>0</v>
      </c>
      <c r="P158" s="203"/>
      <c r="AD158" s="20" t="str">
        <f t="shared" si="14"/>
        <v/>
      </c>
      <c r="AE158" s="20" t="e">
        <f>+VLOOKUP(AD158,Catálogo!E:F,2,0)</f>
        <v>#N/A</v>
      </c>
      <c r="AF158" s="20" t="e">
        <f>+VLOOKUP(AD158,Catálogo!E:G,3,0)</f>
        <v>#N/A</v>
      </c>
    </row>
    <row r="159" spans="1:32">
      <c r="J159" s="194">
        <f t="shared" si="15"/>
        <v>0</v>
      </c>
      <c r="K159" s="201">
        <f t="shared" si="16"/>
        <v>0</v>
      </c>
      <c r="L159" s="201">
        <f t="shared" si="17"/>
        <v>0</v>
      </c>
      <c r="M159" s="202">
        <f t="shared" si="18"/>
        <v>0</v>
      </c>
      <c r="N159" s="180"/>
      <c r="O159" s="202">
        <f t="shared" si="19"/>
        <v>0</v>
      </c>
      <c r="P159" s="203"/>
      <c r="AD159" s="20" t="str">
        <f t="shared" si="14"/>
        <v/>
      </c>
      <c r="AE159" s="20" t="e">
        <f>+VLOOKUP(AD159,Catálogo!E:F,2,0)</f>
        <v>#N/A</v>
      </c>
      <c r="AF159" s="20" t="e">
        <f>+VLOOKUP(AD159,Catálogo!E:G,3,0)</f>
        <v>#N/A</v>
      </c>
    </row>
    <row r="160" spans="1:32">
      <c r="J160" s="194">
        <f t="shared" si="15"/>
        <v>0</v>
      </c>
      <c r="K160" s="201">
        <f t="shared" si="16"/>
        <v>0</v>
      </c>
      <c r="L160" s="201">
        <f t="shared" si="17"/>
        <v>0</v>
      </c>
      <c r="M160" s="202">
        <f t="shared" si="18"/>
        <v>0</v>
      </c>
      <c r="N160" s="180"/>
      <c r="O160" s="202">
        <f t="shared" si="19"/>
        <v>0</v>
      </c>
      <c r="P160" s="203"/>
      <c r="AD160" s="20" t="str">
        <f t="shared" si="14"/>
        <v/>
      </c>
      <c r="AE160" s="20" t="e">
        <f>+VLOOKUP(AD160,Catálogo!E:F,2,0)</f>
        <v>#N/A</v>
      </c>
      <c r="AF160" s="20" t="e">
        <f>+VLOOKUP(AD160,Catálogo!E:G,3,0)</f>
        <v>#N/A</v>
      </c>
    </row>
    <row r="161" spans="10:32">
      <c r="J161" s="194">
        <f t="shared" si="15"/>
        <v>0</v>
      </c>
      <c r="K161" s="201">
        <f t="shared" si="16"/>
        <v>0</v>
      </c>
      <c r="L161" s="201">
        <f t="shared" si="17"/>
        <v>0</v>
      </c>
      <c r="M161" s="202">
        <f t="shared" si="18"/>
        <v>0</v>
      </c>
      <c r="N161" s="180"/>
      <c r="O161" s="202">
        <f t="shared" si="19"/>
        <v>0</v>
      </c>
      <c r="P161" s="203"/>
      <c r="AD161" s="20" t="str">
        <f t="shared" si="14"/>
        <v/>
      </c>
      <c r="AE161" s="20" t="e">
        <f>+VLOOKUP(AD161,Catálogo!E:F,2,0)</f>
        <v>#N/A</v>
      </c>
      <c r="AF161" s="20" t="e">
        <f>+VLOOKUP(AD161,Catálogo!E:G,3,0)</f>
        <v>#N/A</v>
      </c>
    </row>
    <row r="162" spans="10:32">
      <c r="J162" s="194">
        <f t="shared" si="15"/>
        <v>0</v>
      </c>
      <c r="K162" s="201">
        <f t="shared" si="16"/>
        <v>0</v>
      </c>
      <c r="L162" s="201">
        <f t="shared" si="17"/>
        <v>0</v>
      </c>
      <c r="M162" s="202">
        <f t="shared" si="18"/>
        <v>0</v>
      </c>
      <c r="N162" s="180"/>
      <c r="O162" s="202">
        <f t="shared" si="19"/>
        <v>0</v>
      </c>
      <c r="P162" s="203"/>
      <c r="AD162" s="20" t="str">
        <f t="shared" si="14"/>
        <v/>
      </c>
      <c r="AE162" s="20" t="e">
        <f>+VLOOKUP(AD162,Catálogo!E:F,2,0)</f>
        <v>#N/A</v>
      </c>
      <c r="AF162" s="20" t="e">
        <f>+VLOOKUP(AD162,Catálogo!E:G,3,0)</f>
        <v>#N/A</v>
      </c>
    </row>
    <row r="163" spans="10:32">
      <c r="J163" s="194">
        <f t="shared" si="15"/>
        <v>0</v>
      </c>
      <c r="K163" s="201">
        <f t="shared" si="16"/>
        <v>0</v>
      </c>
      <c r="L163" s="201">
        <f t="shared" si="17"/>
        <v>0</v>
      </c>
      <c r="M163" s="202">
        <f t="shared" si="18"/>
        <v>0</v>
      </c>
      <c r="N163" s="180"/>
      <c r="O163" s="202">
        <f t="shared" si="19"/>
        <v>0</v>
      </c>
      <c r="P163" s="203"/>
      <c r="AD163" s="20" t="str">
        <f t="shared" si="14"/>
        <v/>
      </c>
      <c r="AE163" s="20" t="e">
        <f>+VLOOKUP(AD163,Catálogo!E:F,2,0)</f>
        <v>#N/A</v>
      </c>
      <c r="AF163" s="20" t="e">
        <f>+VLOOKUP(AD163,Catálogo!E:G,3,0)</f>
        <v>#N/A</v>
      </c>
    </row>
    <row r="164" spans="10:32">
      <c r="J164" s="194">
        <f t="shared" si="15"/>
        <v>0</v>
      </c>
      <c r="K164" s="201">
        <f t="shared" si="16"/>
        <v>0</v>
      </c>
      <c r="L164" s="201">
        <f t="shared" si="17"/>
        <v>0</v>
      </c>
      <c r="M164" s="202">
        <f t="shared" si="18"/>
        <v>0</v>
      </c>
      <c r="N164" s="180"/>
      <c r="O164" s="202">
        <f t="shared" si="19"/>
        <v>0</v>
      </c>
      <c r="P164" s="203"/>
      <c r="AD164" s="20" t="str">
        <f t="shared" si="14"/>
        <v/>
      </c>
      <c r="AE164" s="20" t="e">
        <f>+VLOOKUP(AD164,Catálogo!E:F,2,0)</f>
        <v>#N/A</v>
      </c>
      <c r="AF164" s="20" t="e">
        <f>+VLOOKUP(AD164,Catálogo!E:G,3,0)</f>
        <v>#N/A</v>
      </c>
    </row>
    <row r="165" spans="10:32">
      <c r="J165" s="194">
        <f t="shared" si="15"/>
        <v>0</v>
      </c>
      <c r="K165" s="201">
        <f t="shared" si="16"/>
        <v>0</v>
      </c>
      <c r="L165" s="201">
        <f t="shared" si="17"/>
        <v>0</v>
      </c>
      <c r="M165" s="202">
        <f t="shared" si="18"/>
        <v>0</v>
      </c>
      <c r="N165" s="180"/>
      <c r="O165" s="202">
        <f t="shared" si="19"/>
        <v>0</v>
      </c>
      <c r="P165" s="203"/>
      <c r="AD165" s="20" t="str">
        <f t="shared" si="14"/>
        <v/>
      </c>
      <c r="AE165" s="20" t="e">
        <f>+VLOOKUP(AD165,Catálogo!E:F,2,0)</f>
        <v>#N/A</v>
      </c>
      <c r="AF165" s="20" t="e">
        <f>+VLOOKUP(AD165,Catálogo!E:G,3,0)</f>
        <v>#N/A</v>
      </c>
    </row>
    <row r="166" spans="10:32">
      <c r="J166" s="194">
        <f t="shared" si="15"/>
        <v>0</v>
      </c>
      <c r="K166" s="201">
        <f t="shared" si="16"/>
        <v>0</v>
      </c>
      <c r="L166" s="201">
        <f t="shared" si="17"/>
        <v>0</v>
      </c>
      <c r="M166" s="202">
        <f t="shared" si="18"/>
        <v>0</v>
      </c>
      <c r="N166" s="180"/>
      <c r="O166" s="202">
        <f t="shared" si="19"/>
        <v>0</v>
      </c>
      <c r="P166" s="203"/>
      <c r="AD166" s="20" t="str">
        <f t="shared" si="14"/>
        <v/>
      </c>
      <c r="AE166" s="20" t="e">
        <f>+VLOOKUP(AD166,Catálogo!E:F,2,0)</f>
        <v>#N/A</v>
      </c>
      <c r="AF166" s="20" t="e">
        <f>+VLOOKUP(AD166,Catálogo!E:G,3,0)</f>
        <v>#N/A</v>
      </c>
    </row>
    <row r="167" spans="10:32">
      <c r="J167" s="194">
        <f t="shared" si="15"/>
        <v>0</v>
      </c>
      <c r="K167" s="201">
        <f t="shared" si="16"/>
        <v>0</v>
      </c>
      <c r="L167" s="201">
        <f t="shared" si="17"/>
        <v>0</v>
      </c>
      <c r="M167" s="202">
        <f t="shared" si="18"/>
        <v>0</v>
      </c>
      <c r="N167" s="180"/>
      <c r="O167" s="202">
        <f t="shared" si="19"/>
        <v>0</v>
      </c>
      <c r="P167" s="203"/>
      <c r="AD167" s="20" t="str">
        <f t="shared" si="14"/>
        <v/>
      </c>
      <c r="AE167" s="20" t="e">
        <f>+VLOOKUP(AD167,Catálogo!E:F,2,0)</f>
        <v>#N/A</v>
      </c>
      <c r="AF167" s="20" t="e">
        <f>+VLOOKUP(AD167,Catálogo!E:G,3,0)</f>
        <v>#N/A</v>
      </c>
    </row>
    <row r="168" spans="10:32">
      <c r="J168" s="194">
        <f t="shared" si="15"/>
        <v>0</v>
      </c>
      <c r="K168" s="201">
        <f t="shared" si="16"/>
        <v>0</v>
      </c>
      <c r="L168" s="201">
        <f t="shared" si="17"/>
        <v>0</v>
      </c>
      <c r="M168" s="202">
        <f t="shared" si="18"/>
        <v>0</v>
      </c>
      <c r="N168" s="180"/>
      <c r="O168" s="202">
        <f t="shared" si="19"/>
        <v>0</v>
      </c>
      <c r="P168" s="203"/>
      <c r="AD168" s="20" t="str">
        <f t="shared" si="14"/>
        <v/>
      </c>
      <c r="AE168" s="20" t="e">
        <f>+VLOOKUP(AD168,Catálogo!E:F,2,0)</f>
        <v>#N/A</v>
      </c>
      <c r="AF168" s="20" t="e">
        <f>+VLOOKUP(AD168,Catálogo!E:G,3,0)</f>
        <v>#N/A</v>
      </c>
    </row>
    <row r="169" spans="10:32">
      <c r="J169" s="194">
        <f t="shared" si="15"/>
        <v>0</v>
      </c>
      <c r="K169" s="201">
        <f t="shared" si="16"/>
        <v>0</v>
      </c>
      <c r="L169" s="201">
        <f t="shared" si="17"/>
        <v>0</v>
      </c>
      <c r="M169" s="202">
        <f t="shared" si="18"/>
        <v>0</v>
      </c>
      <c r="N169" s="180"/>
      <c r="O169" s="202">
        <f t="shared" si="19"/>
        <v>0</v>
      </c>
      <c r="P169" s="203"/>
      <c r="AD169" s="20" t="str">
        <f t="shared" si="14"/>
        <v/>
      </c>
      <c r="AE169" s="20" t="e">
        <f>+VLOOKUP(AD169,Catálogo!E:F,2,0)</f>
        <v>#N/A</v>
      </c>
      <c r="AF169" s="20" t="e">
        <f>+VLOOKUP(AD169,Catálogo!E:G,3,0)</f>
        <v>#N/A</v>
      </c>
    </row>
    <row r="170" spans="10:32">
      <c r="J170" s="194">
        <f t="shared" si="15"/>
        <v>0</v>
      </c>
      <c r="K170" s="201">
        <f t="shared" si="16"/>
        <v>0</v>
      </c>
      <c r="L170" s="201">
        <f t="shared" si="17"/>
        <v>0</v>
      </c>
      <c r="M170" s="202">
        <f t="shared" si="18"/>
        <v>0</v>
      </c>
      <c r="N170" s="180"/>
      <c r="O170" s="202">
        <f t="shared" si="19"/>
        <v>0</v>
      </c>
      <c r="P170" s="203"/>
      <c r="AD170" s="20" t="str">
        <f t="shared" si="14"/>
        <v/>
      </c>
      <c r="AE170" s="20" t="e">
        <f>+VLOOKUP(AD170,Catálogo!E:F,2,0)</f>
        <v>#N/A</v>
      </c>
      <c r="AF170" s="20" t="e">
        <f>+VLOOKUP(AD170,Catálogo!E:G,3,0)</f>
        <v>#N/A</v>
      </c>
    </row>
    <row r="171" spans="10:32">
      <c r="J171" s="194">
        <f t="shared" si="15"/>
        <v>0</v>
      </c>
      <c r="K171" s="201">
        <f t="shared" si="16"/>
        <v>0</v>
      </c>
      <c r="L171" s="201">
        <f t="shared" si="17"/>
        <v>0</v>
      </c>
      <c r="M171" s="202">
        <f t="shared" si="18"/>
        <v>0</v>
      </c>
      <c r="N171" s="180"/>
      <c r="O171" s="202">
        <f t="shared" si="19"/>
        <v>0</v>
      </c>
      <c r="P171" s="203"/>
      <c r="AD171" s="20" t="str">
        <f t="shared" si="14"/>
        <v/>
      </c>
      <c r="AE171" s="20" t="e">
        <f>+VLOOKUP(AD171,Catálogo!E:F,2,0)</f>
        <v>#N/A</v>
      </c>
      <c r="AF171" s="20" t="e">
        <f>+VLOOKUP(AD171,Catálogo!E:G,3,0)</f>
        <v>#N/A</v>
      </c>
    </row>
    <row r="172" spans="10:32">
      <c r="J172" s="194">
        <f t="shared" si="15"/>
        <v>0</v>
      </c>
      <c r="K172" s="201">
        <f t="shared" si="16"/>
        <v>0</v>
      </c>
      <c r="L172" s="201">
        <f t="shared" si="17"/>
        <v>0</v>
      </c>
      <c r="M172" s="202">
        <f t="shared" si="18"/>
        <v>0</v>
      </c>
      <c r="N172" s="180"/>
      <c r="O172" s="202">
        <f t="shared" si="19"/>
        <v>0</v>
      </c>
      <c r="P172" s="203"/>
      <c r="AD172" s="20" t="str">
        <f t="shared" si="14"/>
        <v/>
      </c>
      <c r="AE172" s="20" t="e">
        <f>+VLOOKUP(AD172,Catálogo!E:F,2,0)</f>
        <v>#N/A</v>
      </c>
      <c r="AF172" s="20" t="e">
        <f>+VLOOKUP(AD172,Catálogo!E:G,3,0)</f>
        <v>#N/A</v>
      </c>
    </row>
    <row r="173" spans="10:32">
      <c r="J173" s="194">
        <f t="shared" si="15"/>
        <v>0</v>
      </c>
      <c r="K173" s="201">
        <f t="shared" si="16"/>
        <v>0</v>
      </c>
      <c r="L173" s="201">
        <f t="shared" si="17"/>
        <v>0</v>
      </c>
      <c r="M173" s="202">
        <f t="shared" si="18"/>
        <v>0</v>
      </c>
      <c r="N173" s="180"/>
      <c r="O173" s="202">
        <f t="shared" si="19"/>
        <v>0</v>
      </c>
      <c r="P173" s="203"/>
      <c r="AD173" s="20" t="str">
        <f t="shared" si="14"/>
        <v/>
      </c>
      <c r="AE173" s="20" t="e">
        <f>+VLOOKUP(AD173,Catálogo!E:F,2,0)</f>
        <v>#N/A</v>
      </c>
      <c r="AF173" s="20" t="e">
        <f>+VLOOKUP(AD173,Catálogo!E:G,3,0)</f>
        <v>#N/A</v>
      </c>
    </row>
    <row r="174" spans="10:32">
      <c r="J174" s="194">
        <f t="shared" si="15"/>
        <v>0</v>
      </c>
      <c r="K174" s="201">
        <f t="shared" si="16"/>
        <v>0</v>
      </c>
      <c r="L174" s="201">
        <f t="shared" si="17"/>
        <v>0</v>
      </c>
      <c r="M174" s="202">
        <f t="shared" si="18"/>
        <v>0</v>
      </c>
      <c r="N174" s="180"/>
      <c r="O174" s="202">
        <f t="shared" si="19"/>
        <v>0</v>
      </c>
      <c r="P174" s="203"/>
      <c r="AD174" s="20" t="str">
        <f t="shared" si="14"/>
        <v/>
      </c>
      <c r="AE174" s="20" t="e">
        <f>+VLOOKUP(AD174,Catálogo!E:F,2,0)</f>
        <v>#N/A</v>
      </c>
      <c r="AF174" s="20" t="e">
        <f>+VLOOKUP(AD174,Catálogo!E:G,3,0)</f>
        <v>#N/A</v>
      </c>
    </row>
    <row r="175" spans="10:32">
      <c r="J175" s="194">
        <f t="shared" si="15"/>
        <v>0</v>
      </c>
      <c r="K175" s="201">
        <f t="shared" si="16"/>
        <v>0</v>
      </c>
      <c r="L175" s="201">
        <f t="shared" si="17"/>
        <v>0</v>
      </c>
      <c r="M175" s="202">
        <f t="shared" si="18"/>
        <v>0</v>
      </c>
      <c r="N175" s="180"/>
      <c r="O175" s="202">
        <f t="shared" si="19"/>
        <v>0</v>
      </c>
      <c r="P175" s="203"/>
      <c r="AD175" s="20" t="str">
        <f t="shared" si="14"/>
        <v/>
      </c>
      <c r="AE175" s="20" t="e">
        <f>+VLOOKUP(AD175,Catálogo!E:F,2,0)</f>
        <v>#N/A</v>
      </c>
      <c r="AF175" s="20" t="e">
        <f>+VLOOKUP(AD175,Catálogo!E:G,3,0)</f>
        <v>#N/A</v>
      </c>
    </row>
    <row r="176" spans="10:32">
      <c r="J176" s="194">
        <f t="shared" si="15"/>
        <v>0</v>
      </c>
      <c r="K176" s="201">
        <f t="shared" si="16"/>
        <v>0</v>
      </c>
      <c r="L176" s="201">
        <f t="shared" si="17"/>
        <v>0</v>
      </c>
      <c r="M176" s="202">
        <f t="shared" si="18"/>
        <v>0</v>
      </c>
      <c r="N176" s="180"/>
      <c r="O176" s="202">
        <f t="shared" si="19"/>
        <v>0</v>
      </c>
      <c r="P176" s="203"/>
      <c r="AD176" s="20" t="str">
        <f t="shared" si="14"/>
        <v/>
      </c>
      <c r="AE176" s="20" t="e">
        <f>+VLOOKUP(AD176,Catálogo!E:F,2,0)</f>
        <v>#N/A</v>
      </c>
      <c r="AF176" s="20" t="e">
        <f>+VLOOKUP(AD176,Catálogo!E:G,3,0)</f>
        <v>#N/A</v>
      </c>
    </row>
    <row r="177" spans="10:32">
      <c r="J177" s="194">
        <f t="shared" si="15"/>
        <v>0</v>
      </c>
      <c r="K177" s="201">
        <f t="shared" si="16"/>
        <v>0</v>
      </c>
      <c r="L177" s="201">
        <f t="shared" si="17"/>
        <v>0</v>
      </c>
      <c r="M177" s="202">
        <f t="shared" si="18"/>
        <v>0</v>
      </c>
      <c r="N177" s="180"/>
      <c r="O177" s="202">
        <f t="shared" si="19"/>
        <v>0</v>
      </c>
      <c r="P177" s="203"/>
      <c r="AD177" s="20" t="str">
        <f t="shared" si="14"/>
        <v/>
      </c>
      <c r="AE177" s="20" t="e">
        <f>+VLOOKUP(AD177,Catálogo!E:F,2,0)</f>
        <v>#N/A</v>
      </c>
      <c r="AF177" s="20" t="e">
        <f>+VLOOKUP(AD177,Catálogo!E:G,3,0)</f>
        <v>#N/A</v>
      </c>
    </row>
    <row r="178" spans="10:32">
      <c r="J178" s="194">
        <f t="shared" si="15"/>
        <v>0</v>
      </c>
      <c r="K178" s="201">
        <f t="shared" si="16"/>
        <v>0</v>
      </c>
      <c r="L178" s="201">
        <f t="shared" si="17"/>
        <v>0</v>
      </c>
      <c r="M178" s="202">
        <f t="shared" si="18"/>
        <v>0</v>
      </c>
      <c r="N178" s="180"/>
      <c r="O178" s="202">
        <f t="shared" si="19"/>
        <v>0</v>
      </c>
      <c r="P178" s="203"/>
      <c r="AD178" s="20" t="str">
        <f t="shared" si="14"/>
        <v/>
      </c>
      <c r="AE178" s="20" t="e">
        <f>+VLOOKUP(AD178,Catálogo!E:F,2,0)</f>
        <v>#N/A</v>
      </c>
      <c r="AF178" s="20" t="e">
        <f>+VLOOKUP(AD178,Catálogo!E:G,3,0)</f>
        <v>#N/A</v>
      </c>
    </row>
    <row r="179" spans="10:32">
      <c r="J179" s="194">
        <f t="shared" si="15"/>
        <v>0</v>
      </c>
      <c r="K179" s="201">
        <f t="shared" si="16"/>
        <v>0</v>
      </c>
      <c r="L179" s="201">
        <f t="shared" si="17"/>
        <v>0</v>
      </c>
      <c r="M179" s="202">
        <f t="shared" si="18"/>
        <v>0</v>
      </c>
      <c r="N179" s="180"/>
      <c r="O179" s="202">
        <f t="shared" si="19"/>
        <v>0</v>
      </c>
      <c r="P179" s="203"/>
      <c r="AD179" s="20" t="str">
        <f t="shared" si="14"/>
        <v/>
      </c>
      <c r="AE179" s="20" t="e">
        <f>+VLOOKUP(AD179,Catálogo!E:F,2,0)</f>
        <v>#N/A</v>
      </c>
      <c r="AF179" s="20" t="e">
        <f>+VLOOKUP(AD179,Catálogo!E:G,3,0)</f>
        <v>#N/A</v>
      </c>
    </row>
    <row r="180" spans="10:32">
      <c r="J180" s="194">
        <f t="shared" si="15"/>
        <v>0</v>
      </c>
      <c r="K180" s="201">
        <f t="shared" si="16"/>
        <v>0</v>
      </c>
      <c r="L180" s="201">
        <f t="shared" si="17"/>
        <v>0</v>
      </c>
      <c r="M180" s="202">
        <f t="shared" si="18"/>
        <v>0</v>
      </c>
      <c r="N180" s="180"/>
      <c r="O180" s="202">
        <f t="shared" si="19"/>
        <v>0</v>
      </c>
      <c r="P180" s="203"/>
      <c r="AD180" s="20" t="str">
        <f t="shared" si="14"/>
        <v/>
      </c>
      <c r="AE180" s="20" t="e">
        <f>+VLOOKUP(AD180,Catálogo!E:F,2,0)</f>
        <v>#N/A</v>
      </c>
      <c r="AF180" s="20" t="e">
        <f>+VLOOKUP(AD180,Catálogo!E:G,3,0)</f>
        <v>#N/A</v>
      </c>
    </row>
    <row r="181" spans="10:32">
      <c r="J181" s="194">
        <f t="shared" si="15"/>
        <v>0</v>
      </c>
      <c r="K181" s="201">
        <f t="shared" si="16"/>
        <v>0</v>
      </c>
      <c r="L181" s="201">
        <f t="shared" si="17"/>
        <v>0</v>
      </c>
      <c r="M181" s="202">
        <f t="shared" si="18"/>
        <v>0</v>
      </c>
      <c r="N181" s="180"/>
      <c r="O181" s="202">
        <f t="shared" si="19"/>
        <v>0</v>
      </c>
      <c r="P181" s="203"/>
      <c r="AD181" s="20" t="str">
        <f t="shared" si="14"/>
        <v/>
      </c>
      <c r="AE181" s="20" t="e">
        <f>+VLOOKUP(AD181,Catálogo!E:F,2,0)</f>
        <v>#N/A</v>
      </c>
      <c r="AF181" s="20" t="e">
        <f>+VLOOKUP(AD181,Catálogo!E:G,3,0)</f>
        <v>#N/A</v>
      </c>
    </row>
    <row r="182" spans="10:32">
      <c r="J182" s="194">
        <f t="shared" si="15"/>
        <v>0</v>
      </c>
      <c r="K182" s="201">
        <f t="shared" si="16"/>
        <v>0</v>
      </c>
      <c r="L182" s="201">
        <f t="shared" si="17"/>
        <v>0</v>
      </c>
      <c r="M182" s="202">
        <f t="shared" si="18"/>
        <v>0</v>
      </c>
      <c r="N182" s="180"/>
      <c r="O182" s="202">
        <f t="shared" si="19"/>
        <v>0</v>
      </c>
      <c r="P182" s="203"/>
      <c r="AD182" s="20" t="str">
        <f t="shared" si="14"/>
        <v/>
      </c>
      <c r="AE182" s="20" t="e">
        <f>+VLOOKUP(AD182,Catálogo!E:F,2,0)</f>
        <v>#N/A</v>
      </c>
      <c r="AF182" s="20" t="e">
        <f>+VLOOKUP(AD182,Catálogo!E:G,3,0)</f>
        <v>#N/A</v>
      </c>
    </row>
    <row r="183" spans="10:32">
      <c r="J183" s="194">
        <f t="shared" si="15"/>
        <v>0</v>
      </c>
      <c r="K183" s="201">
        <f t="shared" si="16"/>
        <v>0</v>
      </c>
      <c r="L183" s="201">
        <f t="shared" si="17"/>
        <v>0</v>
      </c>
      <c r="M183" s="202">
        <f t="shared" si="18"/>
        <v>0</v>
      </c>
      <c r="N183" s="180"/>
      <c r="O183" s="202">
        <f t="shared" si="19"/>
        <v>0</v>
      </c>
      <c r="P183" s="203"/>
      <c r="AD183" s="20" t="str">
        <f t="shared" si="14"/>
        <v/>
      </c>
      <c r="AE183" s="20" t="e">
        <f>+VLOOKUP(AD183,Catálogo!E:F,2,0)</f>
        <v>#N/A</v>
      </c>
      <c r="AF183" s="20" t="e">
        <f>+VLOOKUP(AD183,Catálogo!E:G,3,0)</f>
        <v>#N/A</v>
      </c>
    </row>
    <row r="184" spans="10:32">
      <c r="J184" s="194">
        <f t="shared" si="15"/>
        <v>0</v>
      </c>
      <c r="K184" s="201">
        <f t="shared" si="16"/>
        <v>0</v>
      </c>
      <c r="L184" s="201">
        <f t="shared" si="17"/>
        <v>0</v>
      </c>
      <c r="M184" s="202">
        <f t="shared" si="18"/>
        <v>0</v>
      </c>
      <c r="N184" s="180"/>
      <c r="O184" s="202">
        <f t="shared" si="19"/>
        <v>0</v>
      </c>
      <c r="P184" s="203"/>
      <c r="AD184" s="20" t="str">
        <f t="shared" si="14"/>
        <v/>
      </c>
      <c r="AE184" s="20" t="e">
        <f>+VLOOKUP(AD184,Catálogo!E:F,2,0)</f>
        <v>#N/A</v>
      </c>
      <c r="AF184" s="20" t="e">
        <f>+VLOOKUP(AD184,Catálogo!E:G,3,0)</f>
        <v>#N/A</v>
      </c>
    </row>
    <row r="185" spans="10:32">
      <c r="J185" s="194">
        <f t="shared" si="15"/>
        <v>0</v>
      </c>
      <c r="K185" s="201">
        <f t="shared" si="16"/>
        <v>0</v>
      </c>
      <c r="L185" s="201">
        <f t="shared" si="17"/>
        <v>0</v>
      </c>
      <c r="M185" s="202">
        <f t="shared" si="18"/>
        <v>0</v>
      </c>
      <c r="N185" s="180"/>
      <c r="O185" s="202">
        <f t="shared" si="19"/>
        <v>0</v>
      </c>
      <c r="P185" s="203"/>
      <c r="AD185" s="20" t="str">
        <f t="shared" si="14"/>
        <v/>
      </c>
      <c r="AE185" s="20" t="e">
        <f>+VLOOKUP(AD185,Catálogo!E:F,2,0)</f>
        <v>#N/A</v>
      </c>
      <c r="AF185" s="20" t="e">
        <f>+VLOOKUP(AD185,Catálogo!E:G,3,0)</f>
        <v>#N/A</v>
      </c>
    </row>
    <row r="186" spans="10:32">
      <c r="J186" s="194">
        <f t="shared" si="15"/>
        <v>0</v>
      </c>
      <c r="K186" s="201">
        <f t="shared" si="16"/>
        <v>0</v>
      </c>
      <c r="L186" s="201">
        <f t="shared" si="17"/>
        <v>0</v>
      </c>
      <c r="M186" s="202">
        <f t="shared" si="18"/>
        <v>0</v>
      </c>
      <c r="N186" s="180"/>
      <c r="O186" s="202">
        <f t="shared" si="19"/>
        <v>0</v>
      </c>
      <c r="P186" s="203"/>
      <c r="AD186" s="20" t="str">
        <f t="shared" si="14"/>
        <v/>
      </c>
      <c r="AE186" s="20" t="e">
        <f>+VLOOKUP(AD186,Catálogo!E:F,2,0)</f>
        <v>#N/A</v>
      </c>
      <c r="AF186" s="20" t="e">
        <f>+VLOOKUP(AD186,Catálogo!E:G,3,0)</f>
        <v>#N/A</v>
      </c>
    </row>
    <row r="187" spans="10:32">
      <c r="J187" s="194">
        <f t="shared" si="15"/>
        <v>0</v>
      </c>
      <c r="K187" s="201">
        <f t="shared" si="16"/>
        <v>0</v>
      </c>
      <c r="L187" s="201">
        <f t="shared" si="17"/>
        <v>0</v>
      </c>
      <c r="M187" s="202">
        <f t="shared" si="18"/>
        <v>0</v>
      </c>
      <c r="N187" s="180"/>
      <c r="O187" s="202">
        <f t="shared" si="19"/>
        <v>0</v>
      </c>
      <c r="P187" s="203"/>
      <c r="AD187" s="20" t="str">
        <f t="shared" si="14"/>
        <v/>
      </c>
      <c r="AE187" s="20" t="e">
        <f>+VLOOKUP(AD187,Catálogo!E:F,2,0)</f>
        <v>#N/A</v>
      </c>
      <c r="AF187" s="20" t="e">
        <f>+VLOOKUP(AD187,Catálogo!E:G,3,0)</f>
        <v>#N/A</v>
      </c>
    </row>
    <row r="188" spans="10:32">
      <c r="J188" s="194">
        <f t="shared" si="15"/>
        <v>0</v>
      </c>
      <c r="K188" s="201">
        <f t="shared" si="16"/>
        <v>0</v>
      </c>
      <c r="L188" s="201">
        <f t="shared" si="17"/>
        <v>0</v>
      </c>
      <c r="M188" s="202">
        <f t="shared" si="18"/>
        <v>0</v>
      </c>
      <c r="N188" s="180"/>
      <c r="O188" s="202">
        <f t="shared" si="19"/>
        <v>0</v>
      </c>
      <c r="P188" s="203"/>
      <c r="AD188" s="20" t="str">
        <f t="shared" si="14"/>
        <v/>
      </c>
      <c r="AE188" s="20" t="e">
        <f>+VLOOKUP(AD188,Catálogo!E:F,2,0)</f>
        <v>#N/A</v>
      </c>
      <c r="AF188" s="20" t="e">
        <f>+VLOOKUP(AD188,Catálogo!E:G,3,0)</f>
        <v>#N/A</v>
      </c>
    </row>
    <row r="189" spans="10:32">
      <c r="J189" s="194">
        <f t="shared" si="15"/>
        <v>0</v>
      </c>
      <c r="K189" s="201">
        <f t="shared" si="16"/>
        <v>0</v>
      </c>
      <c r="L189" s="201">
        <f t="shared" si="17"/>
        <v>0</v>
      </c>
      <c r="M189" s="202">
        <f t="shared" si="18"/>
        <v>0</v>
      </c>
      <c r="N189" s="180"/>
      <c r="O189" s="202">
        <f t="shared" si="19"/>
        <v>0</v>
      </c>
      <c r="P189" s="203"/>
      <c r="AD189" s="20" t="str">
        <f t="shared" si="14"/>
        <v/>
      </c>
      <c r="AE189" s="20" t="e">
        <f>+VLOOKUP(AD189,Catálogo!E:F,2,0)</f>
        <v>#N/A</v>
      </c>
      <c r="AF189" s="20" t="e">
        <f>+VLOOKUP(AD189,Catálogo!E:G,3,0)</f>
        <v>#N/A</v>
      </c>
    </row>
    <row r="190" spans="10:32">
      <c r="J190" s="194">
        <f t="shared" si="15"/>
        <v>0</v>
      </c>
      <c r="K190" s="201">
        <f t="shared" si="16"/>
        <v>0</v>
      </c>
      <c r="L190" s="201">
        <f t="shared" si="17"/>
        <v>0</v>
      </c>
      <c r="M190" s="202">
        <f t="shared" si="18"/>
        <v>0</v>
      </c>
      <c r="N190" s="180"/>
      <c r="O190" s="202">
        <f t="shared" si="19"/>
        <v>0</v>
      </c>
      <c r="P190" s="203"/>
      <c r="AD190" s="20" t="str">
        <f t="shared" si="14"/>
        <v/>
      </c>
      <c r="AE190" s="20" t="e">
        <f>+VLOOKUP(AD190,Catálogo!E:F,2,0)</f>
        <v>#N/A</v>
      </c>
      <c r="AF190" s="20" t="e">
        <f>+VLOOKUP(AD190,Catálogo!E:G,3,0)</f>
        <v>#N/A</v>
      </c>
    </row>
    <row r="191" spans="10:32">
      <c r="J191" s="194">
        <f t="shared" si="15"/>
        <v>0</v>
      </c>
      <c r="K191" s="201">
        <f t="shared" si="16"/>
        <v>0</v>
      </c>
      <c r="L191" s="201">
        <f t="shared" si="17"/>
        <v>0</v>
      </c>
      <c r="M191" s="202">
        <f t="shared" si="18"/>
        <v>0</v>
      </c>
      <c r="N191" s="180"/>
      <c r="O191" s="202">
        <f t="shared" si="19"/>
        <v>0</v>
      </c>
      <c r="P191" s="203"/>
      <c r="AD191" s="20" t="str">
        <f t="shared" si="14"/>
        <v/>
      </c>
      <c r="AE191" s="20" t="e">
        <f>+VLOOKUP(AD191,Catálogo!E:F,2,0)</f>
        <v>#N/A</v>
      </c>
      <c r="AF191" s="20" t="e">
        <f>+VLOOKUP(AD191,Catálogo!E:G,3,0)</f>
        <v>#N/A</v>
      </c>
    </row>
    <row r="192" spans="10:32">
      <c r="J192" s="194">
        <f t="shared" si="15"/>
        <v>0</v>
      </c>
      <c r="K192" s="201">
        <f t="shared" si="16"/>
        <v>0</v>
      </c>
      <c r="L192" s="201">
        <f t="shared" si="17"/>
        <v>0</v>
      </c>
      <c r="M192" s="202">
        <f t="shared" si="18"/>
        <v>0</v>
      </c>
      <c r="N192" s="180"/>
      <c r="O192" s="202">
        <f t="shared" si="19"/>
        <v>0</v>
      </c>
      <c r="P192" s="203"/>
      <c r="AD192" s="20" t="str">
        <f t="shared" si="14"/>
        <v/>
      </c>
      <c r="AE192" s="20" t="e">
        <f>+VLOOKUP(AD192,Catálogo!E:F,2,0)</f>
        <v>#N/A</v>
      </c>
      <c r="AF192" s="20" t="e">
        <f>+VLOOKUP(AD192,Catálogo!E:G,3,0)</f>
        <v>#N/A</v>
      </c>
    </row>
    <row r="193" spans="10:32">
      <c r="J193" s="194">
        <f t="shared" si="15"/>
        <v>0</v>
      </c>
      <c r="K193" s="201">
        <f t="shared" si="16"/>
        <v>0</v>
      </c>
      <c r="L193" s="201">
        <f t="shared" si="17"/>
        <v>0</v>
      </c>
      <c r="M193" s="202">
        <f t="shared" si="18"/>
        <v>0</v>
      </c>
      <c r="N193" s="180"/>
      <c r="O193" s="202">
        <f t="shared" si="19"/>
        <v>0</v>
      </c>
      <c r="P193" s="203"/>
      <c r="AD193" s="20" t="str">
        <f t="shared" si="14"/>
        <v/>
      </c>
      <c r="AE193" s="20" t="e">
        <f>+VLOOKUP(AD193,Catálogo!E:F,2,0)</f>
        <v>#N/A</v>
      </c>
      <c r="AF193" s="20" t="e">
        <f>+VLOOKUP(AD193,Catálogo!E:G,3,0)</f>
        <v>#N/A</v>
      </c>
    </row>
    <row r="194" spans="10:32">
      <c r="J194" s="194">
        <f t="shared" si="15"/>
        <v>0</v>
      </c>
      <c r="K194" s="201">
        <f t="shared" si="16"/>
        <v>0</v>
      </c>
      <c r="L194" s="201">
        <f t="shared" si="17"/>
        <v>0</v>
      </c>
      <c r="M194" s="202">
        <f t="shared" si="18"/>
        <v>0</v>
      </c>
      <c r="N194" s="180"/>
      <c r="O194" s="202">
        <f t="shared" si="19"/>
        <v>0</v>
      </c>
      <c r="P194" s="203"/>
      <c r="AD194" s="20" t="str">
        <f t="shared" si="14"/>
        <v/>
      </c>
      <c r="AE194" s="20" t="e">
        <f>+VLOOKUP(AD194,Catálogo!E:F,2,0)</f>
        <v>#N/A</v>
      </c>
      <c r="AF194" s="20" t="e">
        <f>+VLOOKUP(AD194,Catálogo!E:G,3,0)</f>
        <v>#N/A</v>
      </c>
    </row>
    <row r="195" spans="10:32">
      <c r="J195" s="194">
        <f t="shared" si="15"/>
        <v>0</v>
      </c>
      <c r="K195" s="201">
        <f t="shared" si="16"/>
        <v>0</v>
      </c>
      <c r="L195" s="201">
        <f t="shared" si="17"/>
        <v>0</v>
      </c>
      <c r="M195" s="202">
        <f t="shared" si="18"/>
        <v>0</v>
      </c>
      <c r="N195" s="180"/>
      <c r="O195" s="202">
        <f t="shared" si="19"/>
        <v>0</v>
      </c>
      <c r="P195" s="203"/>
      <c r="AD195" s="20" t="str">
        <f t="shared" si="14"/>
        <v/>
      </c>
      <c r="AE195" s="20" t="e">
        <f>+VLOOKUP(AD195,Catálogo!E:F,2,0)</f>
        <v>#N/A</v>
      </c>
      <c r="AF195" s="20" t="e">
        <f>+VLOOKUP(AD195,Catálogo!E:G,3,0)</f>
        <v>#N/A</v>
      </c>
    </row>
    <row r="196" spans="10:32">
      <c r="J196" s="194">
        <f t="shared" si="15"/>
        <v>0</v>
      </c>
      <c r="K196" s="201">
        <f t="shared" si="16"/>
        <v>0</v>
      </c>
      <c r="L196" s="201">
        <f t="shared" si="17"/>
        <v>0</v>
      </c>
      <c r="M196" s="202">
        <f t="shared" si="18"/>
        <v>0</v>
      </c>
      <c r="N196" s="180"/>
      <c r="O196" s="202">
        <f t="shared" si="19"/>
        <v>0</v>
      </c>
      <c r="P196" s="203"/>
      <c r="AD196" s="20" t="str">
        <f t="shared" si="14"/>
        <v/>
      </c>
      <c r="AE196" s="20" t="e">
        <f>+VLOOKUP(AD196,Catálogo!E:F,2,0)</f>
        <v>#N/A</v>
      </c>
      <c r="AF196" s="20" t="e">
        <f>+VLOOKUP(AD196,Catálogo!E:G,3,0)</f>
        <v>#N/A</v>
      </c>
    </row>
    <row r="197" spans="10:32">
      <c r="J197" s="194">
        <f t="shared" si="15"/>
        <v>0</v>
      </c>
      <c r="K197" s="201">
        <f t="shared" si="16"/>
        <v>0</v>
      </c>
      <c r="L197" s="201">
        <f t="shared" si="17"/>
        <v>0</v>
      </c>
      <c r="M197" s="202">
        <f t="shared" si="18"/>
        <v>0</v>
      </c>
      <c r="N197" s="180"/>
      <c r="O197" s="202">
        <f t="shared" si="19"/>
        <v>0</v>
      </c>
      <c r="P197" s="203"/>
      <c r="AD197" s="20" t="str">
        <f t="shared" si="14"/>
        <v/>
      </c>
      <c r="AE197" s="20" t="e">
        <f>+VLOOKUP(AD197,Catálogo!E:F,2,0)</f>
        <v>#N/A</v>
      </c>
      <c r="AF197" s="20" t="e">
        <f>+VLOOKUP(AD197,Catálogo!E:G,3,0)</f>
        <v>#N/A</v>
      </c>
    </row>
    <row r="198" spans="10:32">
      <c r="J198" s="194">
        <f t="shared" si="15"/>
        <v>0</v>
      </c>
      <c r="K198" s="201">
        <f t="shared" si="16"/>
        <v>0</v>
      </c>
      <c r="L198" s="201">
        <f t="shared" si="17"/>
        <v>0</v>
      </c>
      <c r="M198" s="202">
        <f t="shared" si="18"/>
        <v>0</v>
      </c>
      <c r="N198" s="180"/>
      <c r="O198" s="202">
        <f t="shared" si="19"/>
        <v>0</v>
      </c>
      <c r="P198" s="203"/>
      <c r="AD198" s="20" t="str">
        <f t="shared" si="14"/>
        <v/>
      </c>
      <c r="AE198" s="20" t="e">
        <f>+VLOOKUP(AD198,Catálogo!E:F,2,0)</f>
        <v>#N/A</v>
      </c>
      <c r="AF198" s="20" t="e">
        <f>+VLOOKUP(AD198,Catálogo!E:G,3,0)</f>
        <v>#N/A</v>
      </c>
    </row>
    <row r="199" spans="10:32">
      <c r="J199" s="194">
        <f t="shared" si="15"/>
        <v>0</v>
      </c>
      <c r="K199" s="201">
        <f t="shared" si="16"/>
        <v>0</v>
      </c>
      <c r="L199" s="201">
        <f t="shared" si="17"/>
        <v>0</v>
      </c>
      <c r="M199" s="202">
        <f t="shared" si="18"/>
        <v>0</v>
      </c>
      <c r="N199" s="180"/>
      <c r="O199" s="202">
        <f t="shared" si="19"/>
        <v>0</v>
      </c>
      <c r="P199" s="203"/>
      <c r="AD199" s="20" t="str">
        <f t="shared" si="14"/>
        <v/>
      </c>
      <c r="AE199" s="20" t="e">
        <f>+VLOOKUP(AD199,Catálogo!E:F,2,0)</f>
        <v>#N/A</v>
      </c>
      <c r="AF199" s="20" t="e">
        <f>+VLOOKUP(AD199,Catálogo!E:G,3,0)</f>
        <v>#N/A</v>
      </c>
    </row>
    <row r="200" spans="10:32">
      <c r="J200" s="194">
        <f t="shared" si="15"/>
        <v>0</v>
      </c>
      <c r="K200" s="201">
        <f t="shared" si="16"/>
        <v>0</v>
      </c>
      <c r="L200" s="201">
        <f t="shared" si="17"/>
        <v>0</v>
      </c>
      <c r="M200" s="202">
        <f t="shared" si="18"/>
        <v>0</v>
      </c>
      <c r="N200" s="180"/>
      <c r="O200" s="202">
        <f t="shared" si="19"/>
        <v>0</v>
      </c>
      <c r="P200" s="203"/>
      <c r="AD200" s="20" t="str">
        <f t="shared" si="14"/>
        <v/>
      </c>
      <c r="AE200" s="20" t="e">
        <f>+VLOOKUP(AD200,Catálogo!E:F,2,0)</f>
        <v>#N/A</v>
      </c>
      <c r="AF200" s="20" t="e">
        <f>+VLOOKUP(AD200,Catálogo!E:G,3,0)</f>
        <v>#N/A</v>
      </c>
    </row>
    <row r="201" spans="10:32">
      <c r="J201" s="194">
        <f t="shared" si="15"/>
        <v>0</v>
      </c>
      <c r="K201" s="201">
        <f t="shared" si="16"/>
        <v>0</v>
      </c>
      <c r="L201" s="201">
        <f t="shared" si="17"/>
        <v>0</v>
      </c>
      <c r="M201" s="202">
        <f t="shared" si="18"/>
        <v>0</v>
      </c>
      <c r="N201" s="180"/>
      <c r="O201" s="202">
        <f t="shared" si="19"/>
        <v>0</v>
      </c>
      <c r="P201" s="203"/>
      <c r="AD201" s="20" t="str">
        <f t="shared" si="14"/>
        <v/>
      </c>
      <c r="AE201" s="20" t="e">
        <f>+VLOOKUP(AD201,Catálogo!E:F,2,0)</f>
        <v>#N/A</v>
      </c>
      <c r="AF201" s="20" t="e">
        <f>+VLOOKUP(AD201,Catálogo!E:G,3,0)</f>
        <v>#N/A</v>
      </c>
    </row>
    <row r="202" spans="10:32">
      <c r="J202" s="194">
        <f t="shared" si="15"/>
        <v>0</v>
      </c>
      <c r="K202" s="201">
        <f t="shared" si="16"/>
        <v>0</v>
      </c>
      <c r="L202" s="201">
        <f t="shared" si="17"/>
        <v>0</v>
      </c>
      <c r="M202" s="202">
        <f t="shared" si="18"/>
        <v>0</v>
      </c>
      <c r="N202" s="180"/>
      <c r="O202" s="202">
        <f t="shared" si="19"/>
        <v>0</v>
      </c>
      <c r="P202" s="203"/>
      <c r="AD202" s="20" t="str">
        <f t="shared" si="14"/>
        <v/>
      </c>
      <c r="AE202" s="20" t="e">
        <f>+VLOOKUP(AD202,Catálogo!E:F,2,0)</f>
        <v>#N/A</v>
      </c>
      <c r="AF202" s="20" t="e">
        <f>+VLOOKUP(AD202,Catálogo!E:G,3,0)</f>
        <v>#N/A</v>
      </c>
    </row>
    <row r="203" spans="10:32">
      <c r="J203" s="194">
        <f t="shared" si="15"/>
        <v>0</v>
      </c>
      <c r="K203" s="201">
        <f t="shared" si="16"/>
        <v>0</v>
      </c>
      <c r="L203" s="201">
        <f t="shared" si="17"/>
        <v>0</v>
      </c>
      <c r="M203" s="202">
        <f t="shared" si="18"/>
        <v>0</v>
      </c>
      <c r="N203" s="180"/>
      <c r="O203" s="202">
        <f t="shared" si="19"/>
        <v>0</v>
      </c>
      <c r="P203" s="203"/>
      <c r="AD203" s="20" t="str">
        <f t="shared" ref="AD203:AD266" si="20">+CONCATENATE(A203,B203,D203)</f>
        <v/>
      </c>
      <c r="AE203" s="20" t="e">
        <f>+VLOOKUP(AD203,Catálogo!E:F,2,0)</f>
        <v>#N/A</v>
      </c>
      <c r="AF203" s="20" t="e">
        <f>+VLOOKUP(AD203,Catálogo!E:G,3,0)</f>
        <v>#N/A</v>
      </c>
    </row>
    <row r="204" spans="10:32">
      <c r="J204" s="194">
        <f t="shared" ref="J204:J251" si="21">+ROUND(H204/1000,0)</f>
        <v>0</v>
      </c>
      <c r="K204" s="201">
        <f t="shared" ref="K204:K251" si="22">+IFERROR(LEFT(AE204,3),0)</f>
        <v>0</v>
      </c>
      <c r="L204" s="201">
        <f t="shared" ref="L204:L251" si="23">+IFERROR(ABS(K204),"ok")</f>
        <v>0</v>
      </c>
      <c r="M204" s="202">
        <f t="shared" ref="M204:M251" si="24">+IF(L204="ok",J204,0)</f>
        <v>0</v>
      </c>
      <c r="N204" s="180"/>
      <c r="O204" s="202">
        <f t="shared" ref="O204:O251" si="25">+M204+N204</f>
        <v>0</v>
      </c>
      <c r="P204" s="203"/>
      <c r="AD204" s="20" t="str">
        <f t="shared" si="20"/>
        <v/>
      </c>
      <c r="AE204" s="20" t="e">
        <f>+VLOOKUP(AD204,Catálogo!E:F,2,0)</f>
        <v>#N/A</v>
      </c>
      <c r="AF204" s="20" t="e">
        <f>+VLOOKUP(AD204,Catálogo!E:G,3,0)</f>
        <v>#N/A</v>
      </c>
    </row>
    <row r="205" spans="10:32">
      <c r="J205" s="194">
        <f t="shared" si="21"/>
        <v>0</v>
      </c>
      <c r="K205" s="201">
        <f t="shared" si="22"/>
        <v>0</v>
      </c>
      <c r="L205" s="201">
        <f t="shared" si="23"/>
        <v>0</v>
      </c>
      <c r="M205" s="202">
        <f t="shared" si="24"/>
        <v>0</v>
      </c>
      <c r="N205" s="180"/>
      <c r="O205" s="202">
        <f t="shared" si="25"/>
        <v>0</v>
      </c>
      <c r="P205" s="203"/>
      <c r="AD205" s="20" t="str">
        <f t="shared" si="20"/>
        <v/>
      </c>
      <c r="AE205" s="20" t="e">
        <f>+VLOOKUP(AD205,Catálogo!E:F,2,0)</f>
        <v>#N/A</v>
      </c>
      <c r="AF205" s="20" t="e">
        <f>+VLOOKUP(AD205,Catálogo!E:G,3,0)</f>
        <v>#N/A</v>
      </c>
    </row>
    <row r="206" spans="10:32">
      <c r="J206" s="194">
        <f t="shared" si="21"/>
        <v>0</v>
      </c>
      <c r="K206" s="201">
        <f t="shared" si="22"/>
        <v>0</v>
      </c>
      <c r="L206" s="201">
        <f t="shared" si="23"/>
        <v>0</v>
      </c>
      <c r="M206" s="202">
        <f t="shared" si="24"/>
        <v>0</v>
      </c>
      <c r="N206" s="180"/>
      <c r="O206" s="202">
        <f t="shared" si="25"/>
        <v>0</v>
      </c>
      <c r="P206" s="203"/>
      <c r="AD206" s="20" t="str">
        <f t="shared" si="20"/>
        <v/>
      </c>
      <c r="AE206" s="20" t="e">
        <f>+VLOOKUP(AD206,Catálogo!E:F,2,0)</f>
        <v>#N/A</v>
      </c>
      <c r="AF206" s="20" t="e">
        <f>+VLOOKUP(AD206,Catálogo!E:G,3,0)</f>
        <v>#N/A</v>
      </c>
    </row>
    <row r="207" spans="10:32">
      <c r="J207" s="194">
        <f t="shared" si="21"/>
        <v>0</v>
      </c>
      <c r="K207" s="201">
        <f t="shared" si="22"/>
        <v>0</v>
      </c>
      <c r="L207" s="201">
        <f t="shared" si="23"/>
        <v>0</v>
      </c>
      <c r="M207" s="202">
        <f t="shared" si="24"/>
        <v>0</v>
      </c>
      <c r="N207" s="180"/>
      <c r="O207" s="202">
        <f t="shared" si="25"/>
        <v>0</v>
      </c>
      <c r="P207" s="203"/>
      <c r="AD207" s="20" t="str">
        <f t="shared" si="20"/>
        <v/>
      </c>
      <c r="AE207" s="20" t="e">
        <f>+VLOOKUP(AD207,Catálogo!E:F,2,0)</f>
        <v>#N/A</v>
      </c>
      <c r="AF207" s="20" t="e">
        <f>+VLOOKUP(AD207,Catálogo!E:G,3,0)</f>
        <v>#N/A</v>
      </c>
    </row>
    <row r="208" spans="10:32">
      <c r="J208" s="194">
        <f t="shared" si="21"/>
        <v>0</v>
      </c>
      <c r="K208" s="201">
        <f t="shared" si="22"/>
        <v>0</v>
      </c>
      <c r="L208" s="201">
        <f t="shared" si="23"/>
        <v>0</v>
      </c>
      <c r="M208" s="202">
        <f t="shared" si="24"/>
        <v>0</v>
      </c>
      <c r="N208" s="180"/>
      <c r="O208" s="202">
        <f t="shared" si="25"/>
        <v>0</v>
      </c>
      <c r="P208" s="203"/>
      <c r="AD208" s="20" t="str">
        <f t="shared" si="20"/>
        <v/>
      </c>
      <c r="AE208" s="20" t="e">
        <f>+VLOOKUP(AD208,Catálogo!E:F,2,0)</f>
        <v>#N/A</v>
      </c>
      <c r="AF208" s="20" t="e">
        <f>+VLOOKUP(AD208,Catálogo!E:G,3,0)</f>
        <v>#N/A</v>
      </c>
    </row>
    <row r="209" spans="10:32">
      <c r="J209" s="194">
        <f t="shared" si="21"/>
        <v>0</v>
      </c>
      <c r="K209" s="201">
        <f t="shared" si="22"/>
        <v>0</v>
      </c>
      <c r="L209" s="201">
        <f t="shared" si="23"/>
        <v>0</v>
      </c>
      <c r="M209" s="202">
        <f t="shared" si="24"/>
        <v>0</v>
      </c>
      <c r="N209" s="180"/>
      <c r="O209" s="202">
        <f t="shared" si="25"/>
        <v>0</v>
      </c>
      <c r="P209" s="203"/>
      <c r="AD209" s="20" t="str">
        <f t="shared" si="20"/>
        <v/>
      </c>
      <c r="AE209" s="20" t="e">
        <f>+VLOOKUP(AD209,Catálogo!E:F,2,0)</f>
        <v>#N/A</v>
      </c>
      <c r="AF209" s="20" t="e">
        <f>+VLOOKUP(AD209,Catálogo!E:G,3,0)</f>
        <v>#N/A</v>
      </c>
    </row>
    <row r="210" spans="10:32">
      <c r="J210" s="194">
        <f t="shared" si="21"/>
        <v>0</v>
      </c>
      <c r="K210" s="201">
        <f t="shared" si="22"/>
        <v>0</v>
      </c>
      <c r="L210" s="201">
        <f t="shared" si="23"/>
        <v>0</v>
      </c>
      <c r="M210" s="202">
        <f t="shared" si="24"/>
        <v>0</v>
      </c>
      <c r="N210" s="180"/>
      <c r="O210" s="202">
        <f t="shared" si="25"/>
        <v>0</v>
      </c>
      <c r="P210" s="203"/>
      <c r="AD210" s="20" t="str">
        <f t="shared" si="20"/>
        <v/>
      </c>
      <c r="AE210" s="20" t="e">
        <f>+VLOOKUP(AD210,Catálogo!E:F,2,0)</f>
        <v>#N/A</v>
      </c>
      <c r="AF210" s="20" t="e">
        <f>+VLOOKUP(AD210,Catálogo!E:G,3,0)</f>
        <v>#N/A</v>
      </c>
    </row>
    <row r="211" spans="10:32">
      <c r="J211" s="194">
        <f t="shared" si="21"/>
        <v>0</v>
      </c>
      <c r="K211" s="201">
        <f t="shared" si="22"/>
        <v>0</v>
      </c>
      <c r="L211" s="201">
        <f t="shared" si="23"/>
        <v>0</v>
      </c>
      <c r="M211" s="202">
        <f t="shared" si="24"/>
        <v>0</v>
      </c>
      <c r="N211" s="180"/>
      <c r="O211" s="202">
        <f t="shared" si="25"/>
        <v>0</v>
      </c>
      <c r="P211" s="203"/>
      <c r="AD211" s="20" t="str">
        <f t="shared" si="20"/>
        <v/>
      </c>
      <c r="AE211" s="20" t="e">
        <f>+VLOOKUP(AD211,Catálogo!E:F,2,0)</f>
        <v>#N/A</v>
      </c>
      <c r="AF211" s="20" t="e">
        <f>+VLOOKUP(AD211,Catálogo!E:G,3,0)</f>
        <v>#N/A</v>
      </c>
    </row>
    <row r="212" spans="10:32">
      <c r="J212" s="194">
        <f t="shared" si="21"/>
        <v>0</v>
      </c>
      <c r="K212" s="201">
        <f t="shared" si="22"/>
        <v>0</v>
      </c>
      <c r="L212" s="201">
        <f t="shared" si="23"/>
        <v>0</v>
      </c>
      <c r="M212" s="202">
        <f t="shared" si="24"/>
        <v>0</v>
      </c>
      <c r="N212" s="180"/>
      <c r="O212" s="202">
        <f t="shared" si="25"/>
        <v>0</v>
      </c>
      <c r="P212" s="203"/>
      <c r="AD212" s="20" t="str">
        <f t="shared" si="20"/>
        <v/>
      </c>
      <c r="AE212" s="20" t="e">
        <f>+VLOOKUP(AD212,Catálogo!E:F,2,0)</f>
        <v>#N/A</v>
      </c>
      <c r="AF212" s="20" t="e">
        <f>+VLOOKUP(AD212,Catálogo!E:G,3,0)</f>
        <v>#N/A</v>
      </c>
    </row>
    <row r="213" spans="10:32">
      <c r="J213" s="194">
        <f t="shared" si="21"/>
        <v>0</v>
      </c>
      <c r="K213" s="201">
        <f t="shared" si="22"/>
        <v>0</v>
      </c>
      <c r="L213" s="201">
        <f t="shared" si="23"/>
        <v>0</v>
      </c>
      <c r="M213" s="202">
        <f t="shared" si="24"/>
        <v>0</v>
      </c>
      <c r="N213" s="180"/>
      <c r="O213" s="202">
        <f t="shared" si="25"/>
        <v>0</v>
      </c>
      <c r="P213" s="203"/>
      <c r="AD213" s="20" t="str">
        <f t="shared" si="20"/>
        <v/>
      </c>
      <c r="AE213" s="20" t="e">
        <f>+VLOOKUP(AD213,Catálogo!E:F,2,0)</f>
        <v>#N/A</v>
      </c>
      <c r="AF213" s="20" t="e">
        <f>+VLOOKUP(AD213,Catálogo!E:G,3,0)</f>
        <v>#N/A</v>
      </c>
    </row>
    <row r="214" spans="10:32">
      <c r="J214" s="194">
        <f t="shared" si="21"/>
        <v>0</v>
      </c>
      <c r="K214" s="201">
        <f t="shared" si="22"/>
        <v>0</v>
      </c>
      <c r="L214" s="201">
        <f t="shared" si="23"/>
        <v>0</v>
      </c>
      <c r="M214" s="202">
        <f t="shared" si="24"/>
        <v>0</v>
      </c>
      <c r="N214" s="180"/>
      <c r="O214" s="202">
        <f t="shared" si="25"/>
        <v>0</v>
      </c>
      <c r="P214" s="203"/>
      <c r="AD214" s="20" t="str">
        <f t="shared" si="20"/>
        <v/>
      </c>
      <c r="AE214" s="20" t="e">
        <f>+VLOOKUP(AD214,Catálogo!E:F,2,0)</f>
        <v>#N/A</v>
      </c>
      <c r="AF214" s="20" t="e">
        <f>+VLOOKUP(AD214,Catálogo!E:G,3,0)</f>
        <v>#N/A</v>
      </c>
    </row>
    <row r="215" spans="10:32">
      <c r="J215" s="194">
        <f t="shared" si="21"/>
        <v>0</v>
      </c>
      <c r="K215" s="201">
        <f t="shared" si="22"/>
        <v>0</v>
      </c>
      <c r="L215" s="201">
        <f t="shared" si="23"/>
        <v>0</v>
      </c>
      <c r="M215" s="202">
        <f t="shared" si="24"/>
        <v>0</v>
      </c>
      <c r="N215" s="180"/>
      <c r="O215" s="202">
        <f t="shared" si="25"/>
        <v>0</v>
      </c>
      <c r="P215" s="203"/>
      <c r="AD215" s="20" t="str">
        <f t="shared" si="20"/>
        <v/>
      </c>
      <c r="AE215" s="20" t="e">
        <f>+VLOOKUP(AD215,Catálogo!E:F,2,0)</f>
        <v>#N/A</v>
      </c>
      <c r="AF215" s="20" t="e">
        <f>+VLOOKUP(AD215,Catálogo!E:G,3,0)</f>
        <v>#N/A</v>
      </c>
    </row>
    <row r="216" spans="10:32">
      <c r="J216" s="194">
        <f t="shared" si="21"/>
        <v>0</v>
      </c>
      <c r="K216" s="201">
        <f t="shared" si="22"/>
        <v>0</v>
      </c>
      <c r="L216" s="201">
        <f t="shared" si="23"/>
        <v>0</v>
      </c>
      <c r="M216" s="202">
        <f t="shared" si="24"/>
        <v>0</v>
      </c>
      <c r="N216" s="180"/>
      <c r="O216" s="202">
        <f t="shared" si="25"/>
        <v>0</v>
      </c>
      <c r="P216" s="203"/>
      <c r="AD216" s="20" t="str">
        <f t="shared" si="20"/>
        <v/>
      </c>
      <c r="AE216" s="20" t="e">
        <f>+VLOOKUP(AD216,Catálogo!E:F,2,0)</f>
        <v>#N/A</v>
      </c>
      <c r="AF216" s="20" t="e">
        <f>+VLOOKUP(AD216,Catálogo!E:G,3,0)</f>
        <v>#N/A</v>
      </c>
    </row>
    <row r="217" spans="10:32">
      <c r="J217" s="194">
        <f t="shared" si="21"/>
        <v>0</v>
      </c>
      <c r="K217" s="201">
        <f t="shared" si="22"/>
        <v>0</v>
      </c>
      <c r="L217" s="201">
        <f t="shared" si="23"/>
        <v>0</v>
      </c>
      <c r="M217" s="202">
        <f t="shared" si="24"/>
        <v>0</v>
      </c>
      <c r="N217" s="180"/>
      <c r="O217" s="202">
        <f t="shared" si="25"/>
        <v>0</v>
      </c>
      <c r="P217" s="203"/>
      <c r="AD217" s="20" t="str">
        <f t="shared" si="20"/>
        <v/>
      </c>
      <c r="AE217" s="20" t="e">
        <f>+VLOOKUP(AD217,Catálogo!E:F,2,0)</f>
        <v>#N/A</v>
      </c>
      <c r="AF217" s="20" t="e">
        <f>+VLOOKUP(AD217,Catálogo!E:G,3,0)</f>
        <v>#N/A</v>
      </c>
    </row>
    <row r="218" spans="10:32">
      <c r="J218" s="194">
        <f t="shared" si="21"/>
        <v>0</v>
      </c>
      <c r="K218" s="201">
        <f t="shared" si="22"/>
        <v>0</v>
      </c>
      <c r="L218" s="201">
        <f t="shared" si="23"/>
        <v>0</v>
      </c>
      <c r="M218" s="202">
        <f t="shared" si="24"/>
        <v>0</v>
      </c>
      <c r="N218" s="180"/>
      <c r="O218" s="202">
        <f t="shared" si="25"/>
        <v>0</v>
      </c>
      <c r="P218" s="203"/>
      <c r="AD218" s="20" t="str">
        <f t="shared" si="20"/>
        <v/>
      </c>
      <c r="AE218" s="20" t="e">
        <f>+VLOOKUP(AD218,Catálogo!E:F,2,0)</f>
        <v>#N/A</v>
      </c>
      <c r="AF218" s="20" t="e">
        <f>+VLOOKUP(AD218,Catálogo!E:G,3,0)</f>
        <v>#N/A</v>
      </c>
    </row>
    <row r="219" spans="10:32">
      <c r="J219" s="194">
        <f t="shared" si="21"/>
        <v>0</v>
      </c>
      <c r="K219" s="201">
        <f t="shared" si="22"/>
        <v>0</v>
      </c>
      <c r="L219" s="201">
        <f t="shared" si="23"/>
        <v>0</v>
      </c>
      <c r="M219" s="202">
        <f t="shared" si="24"/>
        <v>0</v>
      </c>
      <c r="N219" s="180"/>
      <c r="O219" s="202">
        <f t="shared" si="25"/>
        <v>0</v>
      </c>
      <c r="P219" s="203"/>
      <c r="AD219" s="20" t="str">
        <f t="shared" si="20"/>
        <v/>
      </c>
      <c r="AE219" s="20" t="e">
        <f>+VLOOKUP(AD219,Catálogo!E:F,2,0)</f>
        <v>#N/A</v>
      </c>
      <c r="AF219" s="20" t="e">
        <f>+VLOOKUP(AD219,Catálogo!E:G,3,0)</f>
        <v>#N/A</v>
      </c>
    </row>
    <row r="220" spans="10:32">
      <c r="J220" s="194">
        <f t="shared" si="21"/>
        <v>0</v>
      </c>
      <c r="K220" s="201">
        <f t="shared" si="22"/>
        <v>0</v>
      </c>
      <c r="L220" s="201">
        <f t="shared" si="23"/>
        <v>0</v>
      </c>
      <c r="M220" s="202">
        <f t="shared" si="24"/>
        <v>0</v>
      </c>
      <c r="N220" s="180"/>
      <c r="O220" s="202">
        <f t="shared" si="25"/>
        <v>0</v>
      </c>
      <c r="P220" s="203"/>
      <c r="AD220" s="20" t="str">
        <f t="shared" si="20"/>
        <v/>
      </c>
      <c r="AE220" s="20" t="e">
        <f>+VLOOKUP(AD220,Catálogo!E:F,2,0)</f>
        <v>#N/A</v>
      </c>
      <c r="AF220" s="20" t="e">
        <f>+VLOOKUP(AD220,Catálogo!E:G,3,0)</f>
        <v>#N/A</v>
      </c>
    </row>
    <row r="221" spans="10:32">
      <c r="J221" s="194">
        <f t="shared" si="21"/>
        <v>0</v>
      </c>
      <c r="K221" s="201">
        <f t="shared" si="22"/>
        <v>0</v>
      </c>
      <c r="L221" s="201">
        <f t="shared" si="23"/>
        <v>0</v>
      </c>
      <c r="M221" s="202">
        <f t="shared" si="24"/>
        <v>0</v>
      </c>
      <c r="N221" s="180"/>
      <c r="O221" s="202">
        <f t="shared" si="25"/>
        <v>0</v>
      </c>
      <c r="P221" s="203"/>
      <c r="AD221" s="20" t="str">
        <f t="shared" si="20"/>
        <v/>
      </c>
      <c r="AE221" s="20" t="e">
        <f>+VLOOKUP(AD221,Catálogo!E:F,2,0)</f>
        <v>#N/A</v>
      </c>
      <c r="AF221" s="20" t="e">
        <f>+VLOOKUP(AD221,Catálogo!E:G,3,0)</f>
        <v>#N/A</v>
      </c>
    </row>
    <row r="222" spans="10:32">
      <c r="J222" s="194">
        <f t="shared" si="21"/>
        <v>0</v>
      </c>
      <c r="K222" s="201">
        <f t="shared" si="22"/>
        <v>0</v>
      </c>
      <c r="L222" s="201">
        <f t="shared" si="23"/>
        <v>0</v>
      </c>
      <c r="M222" s="202">
        <f t="shared" si="24"/>
        <v>0</v>
      </c>
      <c r="N222" s="180"/>
      <c r="O222" s="202">
        <f t="shared" si="25"/>
        <v>0</v>
      </c>
      <c r="P222" s="203"/>
      <c r="AD222" s="20" t="str">
        <f t="shared" si="20"/>
        <v/>
      </c>
      <c r="AE222" s="20" t="e">
        <f>+VLOOKUP(AD222,Catálogo!E:F,2,0)</f>
        <v>#N/A</v>
      </c>
      <c r="AF222" s="20" t="e">
        <f>+VLOOKUP(AD222,Catálogo!E:G,3,0)</f>
        <v>#N/A</v>
      </c>
    </row>
    <row r="223" spans="10:32">
      <c r="J223" s="194">
        <f t="shared" si="21"/>
        <v>0</v>
      </c>
      <c r="K223" s="201">
        <f t="shared" si="22"/>
        <v>0</v>
      </c>
      <c r="L223" s="201">
        <f t="shared" si="23"/>
        <v>0</v>
      </c>
      <c r="M223" s="202">
        <f t="shared" si="24"/>
        <v>0</v>
      </c>
      <c r="N223" s="180"/>
      <c r="O223" s="202">
        <f t="shared" si="25"/>
        <v>0</v>
      </c>
      <c r="P223" s="203"/>
      <c r="AD223" s="20" t="str">
        <f t="shared" si="20"/>
        <v/>
      </c>
      <c r="AE223" s="20" t="e">
        <f>+VLOOKUP(AD223,Catálogo!E:F,2,0)</f>
        <v>#N/A</v>
      </c>
      <c r="AF223" s="20" t="e">
        <f>+VLOOKUP(AD223,Catálogo!E:G,3,0)</f>
        <v>#N/A</v>
      </c>
    </row>
    <row r="224" spans="10:32">
      <c r="J224" s="194">
        <f t="shared" si="21"/>
        <v>0</v>
      </c>
      <c r="K224" s="201">
        <f t="shared" si="22"/>
        <v>0</v>
      </c>
      <c r="L224" s="201">
        <f t="shared" si="23"/>
        <v>0</v>
      </c>
      <c r="M224" s="202">
        <f t="shared" si="24"/>
        <v>0</v>
      </c>
      <c r="N224" s="180"/>
      <c r="O224" s="202">
        <f t="shared" si="25"/>
        <v>0</v>
      </c>
      <c r="P224" s="203"/>
      <c r="AD224" s="20" t="str">
        <f t="shared" si="20"/>
        <v/>
      </c>
      <c r="AE224" s="20" t="e">
        <f>+VLOOKUP(AD224,Catálogo!E:F,2,0)</f>
        <v>#N/A</v>
      </c>
      <c r="AF224" s="20" t="e">
        <f>+VLOOKUP(AD224,Catálogo!E:G,3,0)</f>
        <v>#N/A</v>
      </c>
    </row>
    <row r="225" spans="10:32">
      <c r="J225" s="194">
        <f t="shared" si="21"/>
        <v>0</v>
      </c>
      <c r="K225" s="201">
        <f t="shared" si="22"/>
        <v>0</v>
      </c>
      <c r="L225" s="201">
        <f t="shared" si="23"/>
        <v>0</v>
      </c>
      <c r="M225" s="202">
        <f t="shared" si="24"/>
        <v>0</v>
      </c>
      <c r="N225" s="180"/>
      <c r="O225" s="202">
        <f t="shared" si="25"/>
        <v>0</v>
      </c>
      <c r="P225" s="203"/>
      <c r="AD225" s="20" t="str">
        <f t="shared" si="20"/>
        <v/>
      </c>
      <c r="AE225" s="20" t="e">
        <f>+VLOOKUP(AD225,Catálogo!E:F,2,0)</f>
        <v>#N/A</v>
      </c>
      <c r="AF225" s="20" t="e">
        <f>+VLOOKUP(AD225,Catálogo!E:G,3,0)</f>
        <v>#N/A</v>
      </c>
    </row>
    <row r="226" spans="10:32">
      <c r="J226" s="194">
        <f t="shared" si="21"/>
        <v>0</v>
      </c>
      <c r="K226" s="201">
        <f t="shared" si="22"/>
        <v>0</v>
      </c>
      <c r="L226" s="201">
        <f t="shared" si="23"/>
        <v>0</v>
      </c>
      <c r="M226" s="202">
        <f t="shared" si="24"/>
        <v>0</v>
      </c>
      <c r="N226" s="180"/>
      <c r="O226" s="202">
        <f t="shared" si="25"/>
        <v>0</v>
      </c>
      <c r="P226" s="203"/>
      <c r="AD226" s="20" t="str">
        <f t="shared" si="20"/>
        <v/>
      </c>
      <c r="AE226" s="20" t="e">
        <f>+VLOOKUP(AD226,Catálogo!E:F,2,0)</f>
        <v>#N/A</v>
      </c>
      <c r="AF226" s="20" t="e">
        <f>+VLOOKUP(AD226,Catálogo!E:G,3,0)</f>
        <v>#N/A</v>
      </c>
    </row>
    <row r="227" spans="10:32">
      <c r="J227" s="194">
        <f t="shared" si="21"/>
        <v>0</v>
      </c>
      <c r="K227" s="201">
        <f t="shared" si="22"/>
        <v>0</v>
      </c>
      <c r="L227" s="201">
        <f t="shared" si="23"/>
        <v>0</v>
      </c>
      <c r="M227" s="202">
        <f t="shared" si="24"/>
        <v>0</v>
      </c>
      <c r="N227" s="180"/>
      <c r="O227" s="202">
        <f t="shared" si="25"/>
        <v>0</v>
      </c>
      <c r="P227" s="203"/>
      <c r="AD227" s="20" t="str">
        <f t="shared" si="20"/>
        <v/>
      </c>
      <c r="AE227" s="20" t="e">
        <f>+VLOOKUP(AD227,Catálogo!E:F,2,0)</f>
        <v>#N/A</v>
      </c>
      <c r="AF227" s="20" t="e">
        <f>+VLOOKUP(AD227,Catálogo!E:G,3,0)</f>
        <v>#N/A</v>
      </c>
    </row>
    <row r="228" spans="10:32">
      <c r="J228" s="194">
        <f t="shared" si="21"/>
        <v>0</v>
      </c>
      <c r="K228" s="201">
        <f t="shared" si="22"/>
        <v>0</v>
      </c>
      <c r="L228" s="201">
        <f t="shared" si="23"/>
        <v>0</v>
      </c>
      <c r="M228" s="202">
        <f t="shared" si="24"/>
        <v>0</v>
      </c>
      <c r="N228" s="180"/>
      <c r="O228" s="202">
        <f t="shared" si="25"/>
        <v>0</v>
      </c>
      <c r="P228" s="203"/>
      <c r="AD228" s="20" t="str">
        <f t="shared" si="20"/>
        <v/>
      </c>
      <c r="AE228" s="20" t="e">
        <f>+VLOOKUP(AD228,Catálogo!E:F,2,0)</f>
        <v>#N/A</v>
      </c>
      <c r="AF228" s="20" t="e">
        <f>+VLOOKUP(AD228,Catálogo!E:G,3,0)</f>
        <v>#N/A</v>
      </c>
    </row>
    <row r="229" spans="10:32">
      <c r="J229" s="194">
        <f t="shared" si="21"/>
        <v>0</v>
      </c>
      <c r="K229" s="201">
        <f t="shared" si="22"/>
        <v>0</v>
      </c>
      <c r="L229" s="201">
        <f t="shared" si="23"/>
        <v>0</v>
      </c>
      <c r="M229" s="202">
        <f t="shared" si="24"/>
        <v>0</v>
      </c>
      <c r="N229" s="180"/>
      <c r="O229" s="202">
        <f t="shared" si="25"/>
        <v>0</v>
      </c>
      <c r="P229" s="203"/>
      <c r="AD229" s="20" t="str">
        <f t="shared" si="20"/>
        <v/>
      </c>
      <c r="AE229" s="20" t="e">
        <f>+VLOOKUP(AD229,Catálogo!E:F,2,0)</f>
        <v>#N/A</v>
      </c>
      <c r="AF229" s="20" t="e">
        <f>+VLOOKUP(AD229,Catálogo!E:G,3,0)</f>
        <v>#N/A</v>
      </c>
    </row>
    <row r="230" spans="10:32">
      <c r="J230" s="194">
        <f t="shared" si="21"/>
        <v>0</v>
      </c>
      <c r="K230" s="201">
        <f t="shared" si="22"/>
        <v>0</v>
      </c>
      <c r="L230" s="201">
        <f t="shared" si="23"/>
        <v>0</v>
      </c>
      <c r="M230" s="202">
        <f t="shared" si="24"/>
        <v>0</v>
      </c>
      <c r="N230" s="180"/>
      <c r="O230" s="202">
        <f t="shared" si="25"/>
        <v>0</v>
      </c>
      <c r="P230" s="203"/>
      <c r="AD230" s="20" t="str">
        <f t="shared" si="20"/>
        <v/>
      </c>
      <c r="AE230" s="20" t="e">
        <f>+VLOOKUP(AD230,Catálogo!E:F,2,0)</f>
        <v>#N/A</v>
      </c>
      <c r="AF230" s="20" t="e">
        <f>+VLOOKUP(AD230,Catálogo!E:G,3,0)</f>
        <v>#N/A</v>
      </c>
    </row>
    <row r="231" spans="10:32">
      <c r="J231" s="194">
        <f t="shared" si="21"/>
        <v>0</v>
      </c>
      <c r="K231" s="201">
        <f t="shared" si="22"/>
        <v>0</v>
      </c>
      <c r="L231" s="201">
        <f t="shared" si="23"/>
        <v>0</v>
      </c>
      <c r="M231" s="202">
        <f t="shared" si="24"/>
        <v>0</v>
      </c>
      <c r="N231" s="180"/>
      <c r="O231" s="202">
        <f t="shared" si="25"/>
        <v>0</v>
      </c>
      <c r="P231" s="203"/>
      <c r="AD231" s="20" t="str">
        <f t="shared" si="20"/>
        <v/>
      </c>
      <c r="AE231" s="20" t="e">
        <f>+VLOOKUP(AD231,Catálogo!E:F,2,0)</f>
        <v>#N/A</v>
      </c>
      <c r="AF231" s="20" t="e">
        <f>+VLOOKUP(AD231,Catálogo!E:G,3,0)</f>
        <v>#N/A</v>
      </c>
    </row>
    <row r="232" spans="10:32">
      <c r="J232" s="194">
        <f t="shared" si="21"/>
        <v>0</v>
      </c>
      <c r="K232" s="201">
        <f t="shared" si="22"/>
        <v>0</v>
      </c>
      <c r="L232" s="201">
        <f t="shared" si="23"/>
        <v>0</v>
      </c>
      <c r="M232" s="202">
        <f t="shared" si="24"/>
        <v>0</v>
      </c>
      <c r="N232" s="180"/>
      <c r="O232" s="202">
        <f t="shared" si="25"/>
        <v>0</v>
      </c>
      <c r="P232" s="203"/>
      <c r="AD232" s="20" t="str">
        <f t="shared" si="20"/>
        <v/>
      </c>
      <c r="AE232" s="20" t="e">
        <f>+VLOOKUP(AD232,Catálogo!E:F,2,0)</f>
        <v>#N/A</v>
      </c>
      <c r="AF232" s="20" t="e">
        <f>+VLOOKUP(AD232,Catálogo!E:G,3,0)</f>
        <v>#N/A</v>
      </c>
    </row>
    <row r="233" spans="10:32">
      <c r="J233" s="194">
        <f t="shared" si="21"/>
        <v>0</v>
      </c>
      <c r="K233" s="201">
        <f t="shared" si="22"/>
        <v>0</v>
      </c>
      <c r="L233" s="201">
        <f t="shared" si="23"/>
        <v>0</v>
      </c>
      <c r="M233" s="202">
        <f t="shared" si="24"/>
        <v>0</v>
      </c>
      <c r="N233" s="180"/>
      <c r="O233" s="202">
        <f t="shared" si="25"/>
        <v>0</v>
      </c>
      <c r="P233" s="203"/>
      <c r="AD233" s="20" t="str">
        <f t="shared" si="20"/>
        <v/>
      </c>
      <c r="AE233" s="20" t="e">
        <f>+VLOOKUP(AD233,Catálogo!E:F,2,0)</f>
        <v>#N/A</v>
      </c>
      <c r="AF233" s="20" t="e">
        <f>+VLOOKUP(AD233,Catálogo!E:G,3,0)</f>
        <v>#N/A</v>
      </c>
    </row>
    <row r="234" spans="10:32">
      <c r="J234" s="194">
        <f t="shared" si="21"/>
        <v>0</v>
      </c>
      <c r="K234" s="201">
        <f t="shared" si="22"/>
        <v>0</v>
      </c>
      <c r="L234" s="201">
        <f t="shared" si="23"/>
        <v>0</v>
      </c>
      <c r="M234" s="202">
        <f t="shared" si="24"/>
        <v>0</v>
      </c>
      <c r="N234" s="180"/>
      <c r="O234" s="202">
        <f t="shared" si="25"/>
        <v>0</v>
      </c>
      <c r="P234" s="203"/>
      <c r="AD234" s="20" t="str">
        <f t="shared" si="20"/>
        <v/>
      </c>
      <c r="AE234" s="20" t="e">
        <f>+VLOOKUP(AD234,Catálogo!E:F,2,0)</f>
        <v>#N/A</v>
      </c>
      <c r="AF234" s="20" t="e">
        <f>+VLOOKUP(AD234,Catálogo!E:G,3,0)</f>
        <v>#N/A</v>
      </c>
    </row>
    <row r="235" spans="10:32">
      <c r="J235" s="194">
        <f t="shared" si="21"/>
        <v>0</v>
      </c>
      <c r="K235" s="201">
        <f t="shared" si="22"/>
        <v>0</v>
      </c>
      <c r="L235" s="201">
        <f t="shared" si="23"/>
        <v>0</v>
      </c>
      <c r="M235" s="202">
        <f t="shared" si="24"/>
        <v>0</v>
      </c>
      <c r="N235" s="180"/>
      <c r="O235" s="202">
        <f t="shared" si="25"/>
        <v>0</v>
      </c>
      <c r="P235" s="203"/>
      <c r="AD235" s="20" t="str">
        <f t="shared" si="20"/>
        <v/>
      </c>
      <c r="AE235" s="20" t="e">
        <f>+VLOOKUP(AD235,Catálogo!E:F,2,0)</f>
        <v>#N/A</v>
      </c>
      <c r="AF235" s="20" t="e">
        <f>+VLOOKUP(AD235,Catálogo!E:G,3,0)</f>
        <v>#N/A</v>
      </c>
    </row>
    <row r="236" spans="10:32">
      <c r="J236" s="194">
        <f t="shared" si="21"/>
        <v>0</v>
      </c>
      <c r="K236" s="201">
        <f t="shared" si="22"/>
        <v>0</v>
      </c>
      <c r="L236" s="201">
        <f t="shared" si="23"/>
        <v>0</v>
      </c>
      <c r="M236" s="202">
        <f t="shared" si="24"/>
        <v>0</v>
      </c>
      <c r="N236" s="180"/>
      <c r="O236" s="202">
        <f t="shared" si="25"/>
        <v>0</v>
      </c>
      <c r="P236" s="203"/>
      <c r="AD236" s="20" t="str">
        <f t="shared" si="20"/>
        <v/>
      </c>
      <c r="AE236" s="20" t="e">
        <f>+VLOOKUP(AD236,Catálogo!E:F,2,0)</f>
        <v>#N/A</v>
      </c>
      <c r="AF236" s="20" t="e">
        <f>+VLOOKUP(AD236,Catálogo!E:G,3,0)</f>
        <v>#N/A</v>
      </c>
    </row>
    <row r="237" spans="10:32">
      <c r="J237" s="194">
        <f t="shared" si="21"/>
        <v>0</v>
      </c>
      <c r="K237" s="201">
        <f t="shared" si="22"/>
        <v>0</v>
      </c>
      <c r="L237" s="201">
        <f t="shared" si="23"/>
        <v>0</v>
      </c>
      <c r="M237" s="202">
        <f t="shared" si="24"/>
        <v>0</v>
      </c>
      <c r="N237" s="180"/>
      <c r="O237" s="202">
        <f t="shared" si="25"/>
        <v>0</v>
      </c>
      <c r="P237" s="203"/>
      <c r="AD237" s="20" t="str">
        <f t="shared" si="20"/>
        <v/>
      </c>
      <c r="AE237" s="20" t="e">
        <f>+VLOOKUP(AD237,Catálogo!E:F,2,0)</f>
        <v>#N/A</v>
      </c>
      <c r="AF237" s="20" t="e">
        <f>+VLOOKUP(AD237,Catálogo!E:G,3,0)</f>
        <v>#N/A</v>
      </c>
    </row>
    <row r="238" spans="10:32">
      <c r="J238" s="194">
        <f t="shared" si="21"/>
        <v>0</v>
      </c>
      <c r="K238" s="201">
        <f t="shared" si="22"/>
        <v>0</v>
      </c>
      <c r="L238" s="201">
        <f t="shared" si="23"/>
        <v>0</v>
      </c>
      <c r="M238" s="202">
        <f t="shared" si="24"/>
        <v>0</v>
      </c>
      <c r="N238" s="180"/>
      <c r="O238" s="202">
        <f t="shared" si="25"/>
        <v>0</v>
      </c>
      <c r="P238" s="203"/>
      <c r="AD238" s="20" t="str">
        <f t="shared" si="20"/>
        <v/>
      </c>
      <c r="AE238" s="20" t="e">
        <f>+VLOOKUP(AD238,Catálogo!E:F,2,0)</f>
        <v>#N/A</v>
      </c>
      <c r="AF238" s="20" t="e">
        <f>+VLOOKUP(AD238,Catálogo!E:G,3,0)</f>
        <v>#N/A</v>
      </c>
    </row>
    <row r="239" spans="10:32">
      <c r="J239" s="194">
        <f t="shared" si="21"/>
        <v>0</v>
      </c>
      <c r="K239" s="201">
        <f t="shared" si="22"/>
        <v>0</v>
      </c>
      <c r="L239" s="201">
        <f t="shared" si="23"/>
        <v>0</v>
      </c>
      <c r="M239" s="202">
        <f t="shared" si="24"/>
        <v>0</v>
      </c>
      <c r="N239" s="180"/>
      <c r="O239" s="202">
        <f t="shared" si="25"/>
        <v>0</v>
      </c>
      <c r="P239" s="203"/>
      <c r="AD239" s="20" t="str">
        <f t="shared" si="20"/>
        <v/>
      </c>
      <c r="AE239" s="20" t="e">
        <f>+VLOOKUP(AD239,Catálogo!E:F,2,0)</f>
        <v>#N/A</v>
      </c>
      <c r="AF239" s="20" t="e">
        <f>+VLOOKUP(AD239,Catálogo!E:G,3,0)</f>
        <v>#N/A</v>
      </c>
    </row>
    <row r="240" spans="10:32">
      <c r="J240" s="194">
        <f t="shared" si="21"/>
        <v>0</v>
      </c>
      <c r="K240" s="201">
        <f t="shared" si="22"/>
        <v>0</v>
      </c>
      <c r="L240" s="201">
        <f t="shared" si="23"/>
        <v>0</v>
      </c>
      <c r="M240" s="202">
        <f t="shared" si="24"/>
        <v>0</v>
      </c>
      <c r="N240" s="180"/>
      <c r="O240" s="202">
        <f t="shared" si="25"/>
        <v>0</v>
      </c>
      <c r="P240" s="203"/>
      <c r="AD240" s="20" t="str">
        <f t="shared" si="20"/>
        <v/>
      </c>
      <c r="AE240" s="20" t="e">
        <f>+VLOOKUP(AD240,Catálogo!E:F,2,0)</f>
        <v>#N/A</v>
      </c>
      <c r="AF240" s="20" t="e">
        <f>+VLOOKUP(AD240,Catálogo!E:G,3,0)</f>
        <v>#N/A</v>
      </c>
    </row>
    <row r="241" spans="10:32">
      <c r="J241" s="194">
        <f t="shared" si="21"/>
        <v>0</v>
      </c>
      <c r="K241" s="201">
        <f t="shared" si="22"/>
        <v>0</v>
      </c>
      <c r="L241" s="201">
        <f t="shared" si="23"/>
        <v>0</v>
      </c>
      <c r="M241" s="202">
        <f t="shared" si="24"/>
        <v>0</v>
      </c>
      <c r="N241" s="180"/>
      <c r="O241" s="202">
        <f t="shared" si="25"/>
        <v>0</v>
      </c>
      <c r="P241" s="203"/>
      <c r="AD241" s="20" t="str">
        <f t="shared" si="20"/>
        <v/>
      </c>
      <c r="AE241" s="20" t="e">
        <f>+VLOOKUP(AD241,Catálogo!E:F,2,0)</f>
        <v>#N/A</v>
      </c>
      <c r="AF241" s="20" t="e">
        <f>+VLOOKUP(AD241,Catálogo!E:G,3,0)</f>
        <v>#N/A</v>
      </c>
    </row>
    <row r="242" spans="10:32">
      <c r="J242" s="194">
        <f t="shared" si="21"/>
        <v>0</v>
      </c>
      <c r="K242" s="201">
        <f t="shared" si="22"/>
        <v>0</v>
      </c>
      <c r="L242" s="201">
        <f t="shared" si="23"/>
        <v>0</v>
      </c>
      <c r="M242" s="202">
        <f t="shared" si="24"/>
        <v>0</v>
      </c>
      <c r="N242" s="180"/>
      <c r="O242" s="202">
        <f t="shared" si="25"/>
        <v>0</v>
      </c>
      <c r="P242" s="203"/>
      <c r="AD242" s="20" t="str">
        <f t="shared" si="20"/>
        <v/>
      </c>
      <c r="AE242" s="20" t="e">
        <f>+VLOOKUP(AD242,Catálogo!E:F,2,0)</f>
        <v>#N/A</v>
      </c>
      <c r="AF242" s="20" t="e">
        <f>+VLOOKUP(AD242,Catálogo!E:G,3,0)</f>
        <v>#N/A</v>
      </c>
    </row>
    <row r="243" spans="10:32">
      <c r="J243" s="194">
        <f t="shared" si="21"/>
        <v>0</v>
      </c>
      <c r="K243" s="201">
        <f t="shared" si="22"/>
        <v>0</v>
      </c>
      <c r="L243" s="201">
        <f t="shared" si="23"/>
        <v>0</v>
      </c>
      <c r="M243" s="202">
        <f t="shared" si="24"/>
        <v>0</v>
      </c>
      <c r="N243" s="180"/>
      <c r="O243" s="202">
        <f t="shared" si="25"/>
        <v>0</v>
      </c>
      <c r="P243" s="203"/>
      <c r="AD243" s="20" t="str">
        <f t="shared" si="20"/>
        <v/>
      </c>
      <c r="AE243" s="20" t="e">
        <f>+VLOOKUP(AD243,Catálogo!E:F,2,0)</f>
        <v>#N/A</v>
      </c>
      <c r="AF243" s="20" t="e">
        <f>+VLOOKUP(AD243,Catálogo!E:G,3,0)</f>
        <v>#N/A</v>
      </c>
    </row>
    <row r="244" spans="10:32">
      <c r="J244" s="194">
        <f t="shared" si="21"/>
        <v>0</v>
      </c>
      <c r="K244" s="201">
        <f t="shared" si="22"/>
        <v>0</v>
      </c>
      <c r="L244" s="201">
        <f t="shared" si="23"/>
        <v>0</v>
      </c>
      <c r="M244" s="202">
        <f t="shared" si="24"/>
        <v>0</v>
      </c>
      <c r="N244" s="180"/>
      <c r="O244" s="202">
        <f t="shared" si="25"/>
        <v>0</v>
      </c>
      <c r="P244" s="203"/>
      <c r="AD244" s="20" t="str">
        <f t="shared" si="20"/>
        <v/>
      </c>
      <c r="AE244" s="20" t="e">
        <f>+VLOOKUP(AD244,Catálogo!E:F,2,0)</f>
        <v>#N/A</v>
      </c>
      <c r="AF244" s="20" t="e">
        <f>+VLOOKUP(AD244,Catálogo!E:G,3,0)</f>
        <v>#N/A</v>
      </c>
    </row>
    <row r="245" spans="10:32">
      <c r="J245" s="194">
        <f t="shared" si="21"/>
        <v>0</v>
      </c>
      <c r="K245" s="201">
        <f t="shared" si="22"/>
        <v>0</v>
      </c>
      <c r="L245" s="201">
        <f t="shared" si="23"/>
        <v>0</v>
      </c>
      <c r="M245" s="202">
        <f t="shared" si="24"/>
        <v>0</v>
      </c>
      <c r="N245" s="180"/>
      <c r="O245" s="202">
        <f t="shared" si="25"/>
        <v>0</v>
      </c>
      <c r="P245" s="203"/>
      <c r="AD245" s="20" t="str">
        <f t="shared" si="20"/>
        <v/>
      </c>
      <c r="AE245" s="20" t="e">
        <f>+VLOOKUP(AD245,Catálogo!E:F,2,0)</f>
        <v>#N/A</v>
      </c>
      <c r="AF245" s="20" t="e">
        <f>+VLOOKUP(AD245,Catálogo!E:G,3,0)</f>
        <v>#N/A</v>
      </c>
    </row>
    <row r="246" spans="10:32">
      <c r="J246" s="194">
        <f t="shared" si="21"/>
        <v>0</v>
      </c>
      <c r="K246" s="201">
        <f t="shared" si="22"/>
        <v>0</v>
      </c>
      <c r="L246" s="201">
        <f t="shared" si="23"/>
        <v>0</v>
      </c>
      <c r="M246" s="202">
        <f t="shared" si="24"/>
        <v>0</v>
      </c>
      <c r="N246" s="180"/>
      <c r="O246" s="202">
        <f t="shared" si="25"/>
        <v>0</v>
      </c>
      <c r="P246" s="203"/>
      <c r="AD246" s="20" t="str">
        <f t="shared" si="20"/>
        <v/>
      </c>
      <c r="AE246" s="20" t="e">
        <f>+VLOOKUP(AD246,Catálogo!E:F,2,0)</f>
        <v>#N/A</v>
      </c>
      <c r="AF246" s="20" t="e">
        <f>+VLOOKUP(AD246,Catálogo!E:G,3,0)</f>
        <v>#N/A</v>
      </c>
    </row>
    <row r="247" spans="10:32">
      <c r="J247" s="194">
        <f t="shared" si="21"/>
        <v>0</v>
      </c>
      <c r="K247" s="201">
        <f t="shared" si="22"/>
        <v>0</v>
      </c>
      <c r="L247" s="201">
        <f t="shared" si="23"/>
        <v>0</v>
      </c>
      <c r="M247" s="202">
        <f t="shared" si="24"/>
        <v>0</v>
      </c>
      <c r="N247" s="180"/>
      <c r="O247" s="202">
        <f t="shared" si="25"/>
        <v>0</v>
      </c>
      <c r="P247" s="203"/>
      <c r="AD247" s="20" t="str">
        <f t="shared" si="20"/>
        <v/>
      </c>
      <c r="AE247" s="20" t="e">
        <f>+VLOOKUP(AD247,Catálogo!E:F,2,0)</f>
        <v>#N/A</v>
      </c>
      <c r="AF247" s="20" t="e">
        <f>+VLOOKUP(AD247,Catálogo!E:G,3,0)</f>
        <v>#N/A</v>
      </c>
    </row>
    <row r="248" spans="10:32">
      <c r="J248" s="194">
        <f t="shared" si="21"/>
        <v>0</v>
      </c>
      <c r="K248" s="201">
        <f t="shared" si="22"/>
        <v>0</v>
      </c>
      <c r="L248" s="201">
        <f t="shared" si="23"/>
        <v>0</v>
      </c>
      <c r="M248" s="202">
        <f t="shared" si="24"/>
        <v>0</v>
      </c>
      <c r="N248" s="180"/>
      <c r="O248" s="202">
        <f t="shared" si="25"/>
        <v>0</v>
      </c>
      <c r="P248" s="203"/>
      <c r="AD248" s="20" t="str">
        <f t="shared" si="20"/>
        <v/>
      </c>
      <c r="AE248" s="20" t="e">
        <f>+VLOOKUP(AD248,Catálogo!E:F,2,0)</f>
        <v>#N/A</v>
      </c>
      <c r="AF248" s="20" t="e">
        <f>+VLOOKUP(AD248,Catálogo!E:G,3,0)</f>
        <v>#N/A</v>
      </c>
    </row>
    <row r="249" spans="10:32">
      <c r="J249" s="194">
        <f t="shared" si="21"/>
        <v>0</v>
      </c>
      <c r="K249" s="201">
        <f t="shared" si="22"/>
        <v>0</v>
      </c>
      <c r="L249" s="201">
        <f t="shared" si="23"/>
        <v>0</v>
      </c>
      <c r="M249" s="202">
        <f t="shared" si="24"/>
        <v>0</v>
      </c>
      <c r="N249" s="180"/>
      <c r="O249" s="202">
        <f t="shared" si="25"/>
        <v>0</v>
      </c>
      <c r="P249" s="203"/>
      <c r="AD249" s="20" t="str">
        <f t="shared" si="20"/>
        <v/>
      </c>
      <c r="AE249" s="20" t="e">
        <f>+VLOOKUP(AD249,Catálogo!E:F,2,0)</f>
        <v>#N/A</v>
      </c>
      <c r="AF249" s="20" t="e">
        <f>+VLOOKUP(AD249,Catálogo!E:G,3,0)</f>
        <v>#N/A</v>
      </c>
    </row>
    <row r="250" spans="10:32">
      <c r="J250" s="194">
        <f t="shared" si="21"/>
        <v>0</v>
      </c>
      <c r="K250" s="201">
        <f t="shared" si="22"/>
        <v>0</v>
      </c>
      <c r="L250" s="201">
        <f t="shared" si="23"/>
        <v>0</v>
      </c>
      <c r="M250" s="202">
        <f t="shared" si="24"/>
        <v>0</v>
      </c>
      <c r="N250" s="180"/>
      <c r="O250" s="202">
        <f t="shared" si="25"/>
        <v>0</v>
      </c>
      <c r="P250" s="203"/>
      <c r="AD250" s="20" t="str">
        <f t="shared" si="20"/>
        <v/>
      </c>
      <c r="AE250" s="20" t="e">
        <f>+VLOOKUP(AD250,Catálogo!E:F,2,0)</f>
        <v>#N/A</v>
      </c>
      <c r="AF250" s="20" t="e">
        <f>+VLOOKUP(AD250,Catálogo!E:G,3,0)</f>
        <v>#N/A</v>
      </c>
    </row>
    <row r="251" spans="10:32">
      <c r="J251" s="194">
        <f t="shared" si="21"/>
        <v>0</v>
      </c>
      <c r="K251" s="201">
        <f t="shared" si="22"/>
        <v>0</v>
      </c>
      <c r="L251" s="201">
        <f t="shared" si="23"/>
        <v>0</v>
      </c>
      <c r="M251" s="202">
        <f t="shared" si="24"/>
        <v>0</v>
      </c>
      <c r="N251" s="180"/>
      <c r="O251" s="202">
        <f t="shared" si="25"/>
        <v>0</v>
      </c>
      <c r="P251" s="203"/>
      <c r="AD251" s="20" t="str">
        <f t="shared" si="20"/>
        <v/>
      </c>
      <c r="AE251" s="20" t="e">
        <f>+VLOOKUP(AD251,Catálogo!E:F,2,0)</f>
        <v>#N/A</v>
      </c>
      <c r="AF251" s="20" t="e">
        <f>+VLOOKUP(AD251,Catálogo!E:G,3,0)</f>
        <v>#N/A</v>
      </c>
    </row>
    <row r="252" spans="10:32">
      <c r="AD252" s="20" t="str">
        <f t="shared" si="20"/>
        <v/>
      </c>
      <c r="AE252" s="20" t="e">
        <f>+VLOOKUP(AD252,Catálogo!E:F,2,0)</f>
        <v>#N/A</v>
      </c>
      <c r="AF252" s="20" t="e">
        <f>+VLOOKUP(AD252,Catálogo!E:G,3,0)</f>
        <v>#N/A</v>
      </c>
    </row>
    <row r="253" spans="10:32">
      <c r="AD253" s="20" t="str">
        <f t="shared" si="20"/>
        <v/>
      </c>
      <c r="AE253" s="20" t="e">
        <f>+VLOOKUP(AD253,Catálogo!E:F,2,0)</f>
        <v>#N/A</v>
      </c>
      <c r="AF253" s="20" t="e">
        <f>+VLOOKUP(AD253,Catálogo!E:G,3,0)</f>
        <v>#N/A</v>
      </c>
    </row>
    <row r="254" spans="10:32">
      <c r="AD254" s="20" t="str">
        <f t="shared" si="20"/>
        <v/>
      </c>
      <c r="AE254" s="20" t="e">
        <f>+VLOOKUP(AD254,Catálogo!E:F,2,0)</f>
        <v>#N/A</v>
      </c>
      <c r="AF254" s="20" t="e">
        <f>+VLOOKUP(AD254,Catálogo!E:G,3,0)</f>
        <v>#N/A</v>
      </c>
    </row>
    <row r="255" spans="10:32">
      <c r="AD255" s="20" t="str">
        <f t="shared" si="20"/>
        <v/>
      </c>
      <c r="AE255" s="20" t="e">
        <f>+VLOOKUP(AD255,Catálogo!E:F,2,0)</f>
        <v>#N/A</v>
      </c>
      <c r="AF255" s="20" t="e">
        <f>+VLOOKUP(AD255,Catálogo!E:G,3,0)</f>
        <v>#N/A</v>
      </c>
    </row>
    <row r="256" spans="10:32">
      <c r="AD256" s="20" t="str">
        <f t="shared" si="20"/>
        <v/>
      </c>
      <c r="AE256" s="20" t="e">
        <f>+VLOOKUP(AD256,Catálogo!E:F,2,0)</f>
        <v>#N/A</v>
      </c>
      <c r="AF256" s="20" t="e">
        <f>+VLOOKUP(AD256,Catálogo!E:G,3,0)</f>
        <v>#N/A</v>
      </c>
    </row>
    <row r="257" spans="30:32">
      <c r="AD257" s="20" t="str">
        <f t="shared" si="20"/>
        <v/>
      </c>
      <c r="AE257" s="20" t="e">
        <f>+VLOOKUP(AD257,Catálogo!E:F,2,0)</f>
        <v>#N/A</v>
      </c>
      <c r="AF257" s="20" t="e">
        <f>+VLOOKUP(AD257,Catálogo!E:G,3,0)</f>
        <v>#N/A</v>
      </c>
    </row>
    <row r="258" spans="30:32">
      <c r="AD258" s="20" t="str">
        <f t="shared" si="20"/>
        <v/>
      </c>
      <c r="AE258" s="20" t="e">
        <f>+VLOOKUP(AD258,Catálogo!E:F,2,0)</f>
        <v>#N/A</v>
      </c>
      <c r="AF258" s="20" t="e">
        <f>+VLOOKUP(AD258,Catálogo!E:G,3,0)</f>
        <v>#N/A</v>
      </c>
    </row>
    <row r="259" spans="30:32">
      <c r="AD259" s="20" t="str">
        <f t="shared" si="20"/>
        <v/>
      </c>
      <c r="AE259" s="20" t="e">
        <f>+VLOOKUP(AD259,Catálogo!E:F,2,0)</f>
        <v>#N/A</v>
      </c>
      <c r="AF259" s="20" t="e">
        <f>+VLOOKUP(AD259,Catálogo!E:G,3,0)</f>
        <v>#N/A</v>
      </c>
    </row>
    <row r="260" spans="30:32">
      <c r="AD260" s="20" t="str">
        <f t="shared" si="20"/>
        <v/>
      </c>
      <c r="AE260" s="20" t="e">
        <f>+VLOOKUP(AD260,Catálogo!E:F,2,0)</f>
        <v>#N/A</v>
      </c>
      <c r="AF260" s="20" t="e">
        <f>+VLOOKUP(AD260,Catálogo!E:G,3,0)</f>
        <v>#N/A</v>
      </c>
    </row>
    <row r="261" spans="30:32">
      <c r="AD261" s="20" t="str">
        <f t="shared" si="20"/>
        <v/>
      </c>
      <c r="AE261" s="20" t="e">
        <f>+VLOOKUP(AD261,Catálogo!E:F,2,0)</f>
        <v>#N/A</v>
      </c>
      <c r="AF261" s="20" t="e">
        <f>+VLOOKUP(AD261,Catálogo!E:G,3,0)</f>
        <v>#N/A</v>
      </c>
    </row>
    <row r="262" spans="30:32">
      <c r="AD262" s="20" t="str">
        <f t="shared" si="20"/>
        <v/>
      </c>
      <c r="AE262" s="20" t="e">
        <f>+VLOOKUP(AD262,Catálogo!E:F,2,0)</f>
        <v>#N/A</v>
      </c>
      <c r="AF262" s="20" t="e">
        <f>+VLOOKUP(AD262,Catálogo!E:G,3,0)</f>
        <v>#N/A</v>
      </c>
    </row>
    <row r="263" spans="30:32">
      <c r="AD263" s="20" t="str">
        <f t="shared" si="20"/>
        <v/>
      </c>
      <c r="AE263" s="20" t="e">
        <f>+VLOOKUP(AD263,Catálogo!E:F,2,0)</f>
        <v>#N/A</v>
      </c>
      <c r="AF263" s="20" t="e">
        <f>+VLOOKUP(AD263,Catálogo!E:G,3,0)</f>
        <v>#N/A</v>
      </c>
    </row>
    <row r="264" spans="30:32">
      <c r="AD264" s="20" t="str">
        <f t="shared" si="20"/>
        <v/>
      </c>
      <c r="AE264" s="20" t="e">
        <f>+VLOOKUP(AD264,Catálogo!E:F,2,0)</f>
        <v>#N/A</v>
      </c>
      <c r="AF264" s="20" t="e">
        <f>+VLOOKUP(AD264,Catálogo!E:G,3,0)</f>
        <v>#N/A</v>
      </c>
    </row>
    <row r="265" spans="30:32">
      <c r="AD265" s="20" t="str">
        <f t="shared" si="20"/>
        <v/>
      </c>
      <c r="AE265" s="20" t="e">
        <f>+VLOOKUP(AD265,Catálogo!E:F,2,0)</f>
        <v>#N/A</v>
      </c>
      <c r="AF265" s="20" t="e">
        <f>+VLOOKUP(AD265,Catálogo!E:G,3,0)</f>
        <v>#N/A</v>
      </c>
    </row>
    <row r="266" spans="30:32">
      <c r="AD266" s="20" t="str">
        <f t="shared" si="20"/>
        <v/>
      </c>
      <c r="AE266" s="20" t="e">
        <f>+VLOOKUP(AD266,Catálogo!E:F,2,0)</f>
        <v>#N/A</v>
      </c>
      <c r="AF266" s="20" t="e">
        <f>+VLOOKUP(AD266,Catálogo!E:G,3,0)</f>
        <v>#N/A</v>
      </c>
    </row>
    <row r="267" spans="30:32">
      <c r="AD267" s="20" t="str">
        <f t="shared" ref="AD267:AD330" si="26">+CONCATENATE(A267,B267,D267)</f>
        <v/>
      </c>
      <c r="AE267" s="20" t="e">
        <f>+VLOOKUP(AD267,Catálogo!E:F,2,0)</f>
        <v>#N/A</v>
      </c>
      <c r="AF267" s="20" t="e">
        <f>+VLOOKUP(AD267,Catálogo!E:G,3,0)</f>
        <v>#N/A</v>
      </c>
    </row>
    <row r="268" spans="30:32">
      <c r="AD268" s="20" t="str">
        <f t="shared" si="26"/>
        <v/>
      </c>
      <c r="AE268" s="20" t="e">
        <f>+VLOOKUP(AD268,Catálogo!E:F,2,0)</f>
        <v>#N/A</v>
      </c>
      <c r="AF268" s="20" t="e">
        <f>+VLOOKUP(AD268,Catálogo!E:G,3,0)</f>
        <v>#N/A</v>
      </c>
    </row>
    <row r="269" spans="30:32">
      <c r="AD269" s="20" t="str">
        <f t="shared" si="26"/>
        <v/>
      </c>
      <c r="AE269" s="20" t="e">
        <f>+VLOOKUP(AD269,Catálogo!E:F,2,0)</f>
        <v>#N/A</v>
      </c>
      <c r="AF269" s="20" t="e">
        <f>+VLOOKUP(AD269,Catálogo!E:G,3,0)</f>
        <v>#N/A</v>
      </c>
    </row>
    <row r="270" spans="30:32">
      <c r="AD270" s="20" t="str">
        <f t="shared" si="26"/>
        <v/>
      </c>
      <c r="AE270" s="20" t="e">
        <f>+VLOOKUP(AD270,Catálogo!E:F,2,0)</f>
        <v>#N/A</v>
      </c>
      <c r="AF270" s="20" t="e">
        <f>+VLOOKUP(AD270,Catálogo!E:G,3,0)</f>
        <v>#N/A</v>
      </c>
    </row>
    <row r="271" spans="30:32">
      <c r="AD271" s="20" t="str">
        <f t="shared" si="26"/>
        <v/>
      </c>
      <c r="AE271" s="20" t="e">
        <f>+VLOOKUP(AD271,Catálogo!E:F,2,0)</f>
        <v>#N/A</v>
      </c>
      <c r="AF271" s="20" t="e">
        <f>+VLOOKUP(AD271,Catálogo!E:G,3,0)</f>
        <v>#N/A</v>
      </c>
    </row>
    <row r="272" spans="30:32">
      <c r="AD272" s="20" t="str">
        <f t="shared" si="26"/>
        <v/>
      </c>
      <c r="AE272" s="20" t="e">
        <f>+VLOOKUP(AD272,Catálogo!E:F,2,0)</f>
        <v>#N/A</v>
      </c>
      <c r="AF272" s="20" t="e">
        <f>+VLOOKUP(AD272,Catálogo!E:G,3,0)</f>
        <v>#N/A</v>
      </c>
    </row>
    <row r="273" spans="30:32">
      <c r="AD273" s="20" t="str">
        <f t="shared" si="26"/>
        <v/>
      </c>
      <c r="AE273" s="20" t="e">
        <f>+VLOOKUP(AD273,Catálogo!E:F,2,0)</f>
        <v>#N/A</v>
      </c>
      <c r="AF273" s="20" t="e">
        <f>+VLOOKUP(AD273,Catálogo!E:G,3,0)</f>
        <v>#N/A</v>
      </c>
    </row>
    <row r="274" spans="30:32">
      <c r="AD274" s="20" t="str">
        <f t="shared" si="26"/>
        <v/>
      </c>
      <c r="AE274" s="20" t="e">
        <f>+VLOOKUP(AD274,Catálogo!E:F,2,0)</f>
        <v>#N/A</v>
      </c>
      <c r="AF274" s="20" t="e">
        <f>+VLOOKUP(AD274,Catálogo!E:G,3,0)</f>
        <v>#N/A</v>
      </c>
    </row>
    <row r="275" spans="30:32">
      <c r="AD275" s="20" t="str">
        <f t="shared" si="26"/>
        <v/>
      </c>
      <c r="AE275" s="20" t="e">
        <f>+VLOOKUP(AD275,Catálogo!E:F,2,0)</f>
        <v>#N/A</v>
      </c>
      <c r="AF275" s="20" t="e">
        <f>+VLOOKUP(AD275,Catálogo!E:G,3,0)</f>
        <v>#N/A</v>
      </c>
    </row>
    <row r="276" spans="30:32">
      <c r="AD276" s="20" t="str">
        <f t="shared" si="26"/>
        <v/>
      </c>
      <c r="AE276" s="20" t="e">
        <f>+VLOOKUP(AD276,Catálogo!E:F,2,0)</f>
        <v>#N/A</v>
      </c>
      <c r="AF276" s="20" t="e">
        <f>+VLOOKUP(AD276,Catálogo!E:G,3,0)</f>
        <v>#N/A</v>
      </c>
    </row>
    <row r="277" spans="30:32">
      <c r="AD277" s="20" t="str">
        <f t="shared" si="26"/>
        <v/>
      </c>
      <c r="AE277" s="20" t="e">
        <f>+VLOOKUP(AD277,Catálogo!E:F,2,0)</f>
        <v>#N/A</v>
      </c>
      <c r="AF277" s="20" t="e">
        <f>+VLOOKUP(AD277,Catálogo!E:G,3,0)</f>
        <v>#N/A</v>
      </c>
    </row>
    <row r="278" spans="30:32">
      <c r="AD278" s="20" t="str">
        <f t="shared" si="26"/>
        <v/>
      </c>
      <c r="AE278" s="20" t="e">
        <f>+VLOOKUP(AD278,Catálogo!E:F,2,0)</f>
        <v>#N/A</v>
      </c>
      <c r="AF278" s="20" t="e">
        <f>+VLOOKUP(AD278,Catálogo!E:G,3,0)</f>
        <v>#N/A</v>
      </c>
    </row>
    <row r="279" spans="30:32">
      <c r="AD279" s="20" t="str">
        <f t="shared" si="26"/>
        <v/>
      </c>
      <c r="AE279" s="20" t="e">
        <f>+VLOOKUP(AD279,Catálogo!E:F,2,0)</f>
        <v>#N/A</v>
      </c>
      <c r="AF279" s="20" t="e">
        <f>+VLOOKUP(AD279,Catálogo!E:G,3,0)</f>
        <v>#N/A</v>
      </c>
    </row>
    <row r="280" spans="30:32">
      <c r="AD280" s="20" t="str">
        <f t="shared" si="26"/>
        <v/>
      </c>
      <c r="AE280" s="20" t="e">
        <f>+VLOOKUP(AD280,Catálogo!E:F,2,0)</f>
        <v>#N/A</v>
      </c>
      <c r="AF280" s="20" t="e">
        <f>+VLOOKUP(AD280,Catálogo!E:G,3,0)</f>
        <v>#N/A</v>
      </c>
    </row>
    <row r="281" spans="30:32">
      <c r="AD281" s="20" t="str">
        <f t="shared" si="26"/>
        <v/>
      </c>
      <c r="AE281" s="20" t="e">
        <f>+VLOOKUP(AD281,Catálogo!E:F,2,0)</f>
        <v>#N/A</v>
      </c>
      <c r="AF281" s="20" t="e">
        <f>+VLOOKUP(AD281,Catálogo!E:G,3,0)</f>
        <v>#N/A</v>
      </c>
    </row>
    <row r="282" spans="30:32">
      <c r="AD282" s="20" t="str">
        <f t="shared" si="26"/>
        <v/>
      </c>
      <c r="AE282" s="20" t="e">
        <f>+VLOOKUP(AD282,Catálogo!E:F,2,0)</f>
        <v>#N/A</v>
      </c>
      <c r="AF282" s="20" t="e">
        <f>+VLOOKUP(AD282,Catálogo!E:G,3,0)</f>
        <v>#N/A</v>
      </c>
    </row>
    <row r="283" spans="30:32">
      <c r="AD283" s="20" t="str">
        <f t="shared" si="26"/>
        <v/>
      </c>
      <c r="AE283" s="20" t="e">
        <f>+VLOOKUP(AD283,Catálogo!E:F,2,0)</f>
        <v>#N/A</v>
      </c>
      <c r="AF283" s="20" t="e">
        <f>+VLOOKUP(AD283,Catálogo!E:G,3,0)</f>
        <v>#N/A</v>
      </c>
    </row>
    <row r="284" spans="30:32">
      <c r="AD284" s="20" t="str">
        <f t="shared" si="26"/>
        <v/>
      </c>
      <c r="AE284" s="20" t="e">
        <f>+VLOOKUP(AD284,Catálogo!E:F,2,0)</f>
        <v>#N/A</v>
      </c>
      <c r="AF284" s="20" t="e">
        <f>+VLOOKUP(AD284,Catálogo!E:G,3,0)</f>
        <v>#N/A</v>
      </c>
    </row>
    <row r="285" spans="30:32">
      <c r="AD285" s="20" t="str">
        <f t="shared" si="26"/>
        <v/>
      </c>
      <c r="AE285" s="20" t="e">
        <f>+VLOOKUP(AD285,Catálogo!E:F,2,0)</f>
        <v>#N/A</v>
      </c>
      <c r="AF285" s="20" t="e">
        <f>+VLOOKUP(AD285,Catálogo!E:G,3,0)</f>
        <v>#N/A</v>
      </c>
    </row>
    <row r="286" spans="30:32">
      <c r="AD286" s="20" t="str">
        <f t="shared" si="26"/>
        <v/>
      </c>
      <c r="AE286" s="20" t="e">
        <f>+VLOOKUP(AD286,Catálogo!E:F,2,0)</f>
        <v>#N/A</v>
      </c>
      <c r="AF286" s="20" t="e">
        <f>+VLOOKUP(AD286,Catálogo!E:G,3,0)</f>
        <v>#N/A</v>
      </c>
    </row>
    <row r="287" spans="30:32">
      <c r="AD287" s="20" t="str">
        <f t="shared" si="26"/>
        <v/>
      </c>
      <c r="AE287" s="20" t="e">
        <f>+VLOOKUP(AD287,Catálogo!E:F,2,0)</f>
        <v>#N/A</v>
      </c>
      <c r="AF287" s="20" t="e">
        <f>+VLOOKUP(AD287,Catálogo!E:G,3,0)</f>
        <v>#N/A</v>
      </c>
    </row>
    <row r="288" spans="30:32">
      <c r="AD288" s="20" t="str">
        <f t="shared" si="26"/>
        <v/>
      </c>
      <c r="AE288" s="20" t="e">
        <f>+VLOOKUP(AD288,Catálogo!E:F,2,0)</f>
        <v>#N/A</v>
      </c>
      <c r="AF288" s="20" t="e">
        <f>+VLOOKUP(AD288,Catálogo!E:G,3,0)</f>
        <v>#N/A</v>
      </c>
    </row>
    <row r="289" spans="30:32">
      <c r="AD289" s="20" t="str">
        <f t="shared" si="26"/>
        <v/>
      </c>
      <c r="AE289" s="20" t="e">
        <f>+VLOOKUP(AD289,Catálogo!E:F,2,0)</f>
        <v>#N/A</v>
      </c>
      <c r="AF289" s="20" t="e">
        <f>+VLOOKUP(AD289,Catálogo!E:G,3,0)</f>
        <v>#N/A</v>
      </c>
    </row>
    <row r="290" spans="30:32">
      <c r="AD290" s="20" t="str">
        <f t="shared" si="26"/>
        <v/>
      </c>
      <c r="AE290" s="20" t="e">
        <f>+VLOOKUP(AD290,Catálogo!E:F,2,0)</f>
        <v>#N/A</v>
      </c>
      <c r="AF290" s="20" t="e">
        <f>+VLOOKUP(AD290,Catálogo!E:G,3,0)</f>
        <v>#N/A</v>
      </c>
    </row>
    <row r="291" spans="30:32">
      <c r="AD291" s="20" t="str">
        <f t="shared" si="26"/>
        <v/>
      </c>
      <c r="AE291" s="20" t="e">
        <f>+VLOOKUP(AD291,Catálogo!E:F,2,0)</f>
        <v>#N/A</v>
      </c>
      <c r="AF291" s="20" t="e">
        <f>+VLOOKUP(AD291,Catálogo!E:G,3,0)</f>
        <v>#N/A</v>
      </c>
    </row>
    <row r="292" spans="30:32">
      <c r="AD292" s="20" t="str">
        <f t="shared" si="26"/>
        <v/>
      </c>
      <c r="AE292" s="20" t="e">
        <f>+VLOOKUP(AD292,Catálogo!E:F,2,0)</f>
        <v>#N/A</v>
      </c>
      <c r="AF292" s="20" t="e">
        <f>+VLOOKUP(AD292,Catálogo!E:G,3,0)</f>
        <v>#N/A</v>
      </c>
    </row>
    <row r="293" spans="30:32">
      <c r="AD293" s="20" t="str">
        <f t="shared" si="26"/>
        <v/>
      </c>
      <c r="AE293" s="20" t="e">
        <f>+VLOOKUP(AD293,Catálogo!E:F,2,0)</f>
        <v>#N/A</v>
      </c>
      <c r="AF293" s="20" t="e">
        <f>+VLOOKUP(AD293,Catálogo!E:G,3,0)</f>
        <v>#N/A</v>
      </c>
    </row>
    <row r="294" spans="30:32">
      <c r="AD294" s="20" t="str">
        <f t="shared" si="26"/>
        <v/>
      </c>
      <c r="AE294" s="20" t="e">
        <f>+VLOOKUP(AD294,Catálogo!E:F,2,0)</f>
        <v>#N/A</v>
      </c>
      <c r="AF294" s="20" t="e">
        <f>+VLOOKUP(AD294,Catálogo!E:G,3,0)</f>
        <v>#N/A</v>
      </c>
    </row>
    <row r="295" spans="30:32">
      <c r="AD295" s="20" t="str">
        <f t="shared" si="26"/>
        <v/>
      </c>
      <c r="AE295" s="20" t="e">
        <f>+VLOOKUP(AD295,Catálogo!E:F,2,0)</f>
        <v>#N/A</v>
      </c>
      <c r="AF295" s="20" t="e">
        <f>+VLOOKUP(AD295,Catálogo!E:G,3,0)</f>
        <v>#N/A</v>
      </c>
    </row>
    <row r="296" spans="30:32">
      <c r="AD296" s="20" t="str">
        <f t="shared" si="26"/>
        <v/>
      </c>
      <c r="AE296" s="20" t="e">
        <f>+VLOOKUP(AD296,Catálogo!E:F,2,0)</f>
        <v>#N/A</v>
      </c>
      <c r="AF296" s="20" t="e">
        <f>+VLOOKUP(AD296,Catálogo!E:G,3,0)</f>
        <v>#N/A</v>
      </c>
    </row>
    <row r="297" spans="30:32">
      <c r="AD297" s="20" t="str">
        <f t="shared" si="26"/>
        <v/>
      </c>
      <c r="AE297" s="20" t="e">
        <f>+VLOOKUP(AD297,Catálogo!E:F,2,0)</f>
        <v>#N/A</v>
      </c>
      <c r="AF297" s="20" t="e">
        <f>+VLOOKUP(AD297,Catálogo!E:G,3,0)</f>
        <v>#N/A</v>
      </c>
    </row>
    <row r="298" spans="30:32">
      <c r="AD298" s="20" t="str">
        <f t="shared" si="26"/>
        <v/>
      </c>
      <c r="AE298" s="20" t="e">
        <f>+VLOOKUP(AD298,Catálogo!E:F,2,0)</f>
        <v>#N/A</v>
      </c>
      <c r="AF298" s="20" t="e">
        <f>+VLOOKUP(AD298,Catálogo!E:G,3,0)</f>
        <v>#N/A</v>
      </c>
    </row>
    <row r="299" spans="30:32">
      <c r="AD299" s="20" t="str">
        <f t="shared" si="26"/>
        <v/>
      </c>
      <c r="AE299" s="20" t="e">
        <f>+VLOOKUP(AD299,Catálogo!E:F,2,0)</f>
        <v>#N/A</v>
      </c>
      <c r="AF299" s="20" t="e">
        <f>+VLOOKUP(AD299,Catálogo!E:G,3,0)</f>
        <v>#N/A</v>
      </c>
    </row>
    <row r="300" spans="30:32">
      <c r="AD300" s="20" t="str">
        <f t="shared" si="26"/>
        <v/>
      </c>
      <c r="AE300" s="20" t="e">
        <f>+VLOOKUP(AD300,Catálogo!E:F,2,0)</f>
        <v>#N/A</v>
      </c>
      <c r="AF300" s="20" t="e">
        <f>+VLOOKUP(AD300,Catálogo!E:G,3,0)</f>
        <v>#N/A</v>
      </c>
    </row>
    <row r="301" spans="30:32">
      <c r="AD301" s="20" t="str">
        <f t="shared" si="26"/>
        <v/>
      </c>
      <c r="AE301" s="20" t="e">
        <f>+VLOOKUP(AD301,Catálogo!E:F,2,0)</f>
        <v>#N/A</v>
      </c>
      <c r="AF301" s="20" t="e">
        <f>+VLOOKUP(AD301,Catálogo!E:G,3,0)</f>
        <v>#N/A</v>
      </c>
    </row>
    <row r="302" spans="30:32">
      <c r="AD302" s="20" t="str">
        <f t="shared" si="26"/>
        <v/>
      </c>
      <c r="AE302" s="20" t="e">
        <f>+VLOOKUP(AD302,Catálogo!E:F,2,0)</f>
        <v>#N/A</v>
      </c>
      <c r="AF302" s="20" t="e">
        <f>+VLOOKUP(AD302,Catálogo!E:G,3,0)</f>
        <v>#N/A</v>
      </c>
    </row>
    <row r="303" spans="30:32">
      <c r="AD303" s="20" t="str">
        <f t="shared" si="26"/>
        <v/>
      </c>
      <c r="AE303" s="20" t="e">
        <f>+VLOOKUP(AD303,Catálogo!E:F,2,0)</f>
        <v>#N/A</v>
      </c>
      <c r="AF303" s="20" t="e">
        <f>+VLOOKUP(AD303,Catálogo!E:G,3,0)</f>
        <v>#N/A</v>
      </c>
    </row>
    <row r="304" spans="30:32">
      <c r="AD304" s="20" t="str">
        <f t="shared" si="26"/>
        <v/>
      </c>
      <c r="AE304" s="20" t="e">
        <f>+VLOOKUP(AD304,Catálogo!E:F,2,0)</f>
        <v>#N/A</v>
      </c>
      <c r="AF304" s="20" t="e">
        <f>+VLOOKUP(AD304,Catálogo!E:G,3,0)</f>
        <v>#N/A</v>
      </c>
    </row>
    <row r="305" spans="30:32">
      <c r="AD305" s="20" t="str">
        <f t="shared" si="26"/>
        <v/>
      </c>
      <c r="AE305" s="20" t="e">
        <f>+VLOOKUP(AD305,Catálogo!E:F,2,0)</f>
        <v>#N/A</v>
      </c>
      <c r="AF305" s="20" t="e">
        <f>+VLOOKUP(AD305,Catálogo!E:G,3,0)</f>
        <v>#N/A</v>
      </c>
    </row>
    <row r="306" spans="30:32">
      <c r="AD306" s="20" t="str">
        <f t="shared" si="26"/>
        <v/>
      </c>
      <c r="AE306" s="20" t="e">
        <f>+VLOOKUP(AD306,Catálogo!E:F,2,0)</f>
        <v>#N/A</v>
      </c>
      <c r="AF306" s="20" t="e">
        <f>+VLOOKUP(AD306,Catálogo!E:G,3,0)</f>
        <v>#N/A</v>
      </c>
    </row>
    <row r="307" spans="30:32">
      <c r="AD307" s="20" t="str">
        <f t="shared" si="26"/>
        <v/>
      </c>
      <c r="AE307" s="20" t="e">
        <f>+VLOOKUP(AD307,Catálogo!E:F,2,0)</f>
        <v>#N/A</v>
      </c>
      <c r="AF307" s="20" t="e">
        <f>+VLOOKUP(AD307,Catálogo!E:G,3,0)</f>
        <v>#N/A</v>
      </c>
    </row>
    <row r="308" spans="30:32">
      <c r="AD308" s="20" t="str">
        <f t="shared" si="26"/>
        <v/>
      </c>
      <c r="AE308" s="20" t="e">
        <f>+VLOOKUP(AD308,Catálogo!E:F,2,0)</f>
        <v>#N/A</v>
      </c>
      <c r="AF308" s="20" t="e">
        <f>+VLOOKUP(AD308,Catálogo!E:G,3,0)</f>
        <v>#N/A</v>
      </c>
    </row>
    <row r="309" spans="30:32" hidden="1">
      <c r="AD309" s="20" t="str">
        <f t="shared" si="26"/>
        <v/>
      </c>
      <c r="AE309" s="20" t="e">
        <f>+VLOOKUP(AD309,Catálogo!E:F,2,0)</f>
        <v>#N/A</v>
      </c>
    </row>
    <row r="310" spans="30:32" hidden="1">
      <c r="AD310" s="20" t="str">
        <f t="shared" si="26"/>
        <v/>
      </c>
      <c r="AE310" s="20" t="e">
        <f>+VLOOKUP(AD310,Catálogo!E:F,2,0)</f>
        <v>#N/A</v>
      </c>
    </row>
    <row r="311" spans="30:32" hidden="1">
      <c r="AD311" s="20" t="str">
        <f t="shared" si="26"/>
        <v/>
      </c>
      <c r="AE311" s="20" t="e">
        <f>+VLOOKUP(AD311,Catálogo!E:F,2,0)</f>
        <v>#N/A</v>
      </c>
    </row>
    <row r="312" spans="30:32" hidden="1">
      <c r="AD312" s="20" t="str">
        <f t="shared" si="26"/>
        <v/>
      </c>
      <c r="AE312" s="20" t="e">
        <f>+VLOOKUP(AD312,Catálogo!E:F,2,0)</f>
        <v>#N/A</v>
      </c>
    </row>
    <row r="313" spans="30:32" hidden="1">
      <c r="AD313" s="20" t="str">
        <f t="shared" si="26"/>
        <v/>
      </c>
      <c r="AE313" s="20" t="e">
        <f>+VLOOKUP(AD313,Catálogo!E:F,2,0)</f>
        <v>#N/A</v>
      </c>
    </row>
    <row r="314" spans="30:32" hidden="1">
      <c r="AD314" s="20" t="str">
        <f t="shared" si="26"/>
        <v/>
      </c>
      <c r="AE314" s="20" t="e">
        <f>+VLOOKUP(AD314,Catálogo!E:F,2,0)</f>
        <v>#N/A</v>
      </c>
    </row>
    <row r="315" spans="30:32" hidden="1">
      <c r="AD315" s="20" t="str">
        <f t="shared" si="26"/>
        <v/>
      </c>
      <c r="AE315" s="20" t="e">
        <f>+VLOOKUP(AD315,Catálogo!E:F,2,0)</f>
        <v>#N/A</v>
      </c>
    </row>
    <row r="316" spans="30:32" hidden="1">
      <c r="AD316" s="20" t="str">
        <f t="shared" si="26"/>
        <v/>
      </c>
      <c r="AE316" s="20" t="e">
        <f>+VLOOKUP(AD316,Catálogo!E:F,2,0)</f>
        <v>#N/A</v>
      </c>
    </row>
    <row r="317" spans="30:32" hidden="1">
      <c r="AD317" s="20" t="str">
        <f t="shared" si="26"/>
        <v/>
      </c>
      <c r="AE317" s="20" t="e">
        <f>+VLOOKUP(AD317,Catálogo!E:F,2,0)</f>
        <v>#N/A</v>
      </c>
    </row>
    <row r="318" spans="30:32" hidden="1">
      <c r="AD318" s="20" t="str">
        <f t="shared" si="26"/>
        <v/>
      </c>
      <c r="AE318" s="20" t="e">
        <f>+VLOOKUP(AD318,Catálogo!E:F,2,0)</f>
        <v>#N/A</v>
      </c>
    </row>
    <row r="319" spans="30:32" hidden="1">
      <c r="AD319" s="20" t="str">
        <f t="shared" si="26"/>
        <v/>
      </c>
      <c r="AE319" s="20" t="e">
        <f>+VLOOKUP(AD319,Catálogo!E:F,2,0)</f>
        <v>#N/A</v>
      </c>
    </row>
    <row r="320" spans="30:32" hidden="1">
      <c r="AD320" s="20" t="str">
        <f t="shared" si="26"/>
        <v/>
      </c>
      <c r="AE320" s="20" t="e">
        <f>+VLOOKUP(AD320,Catálogo!E:F,2,0)</f>
        <v>#N/A</v>
      </c>
    </row>
    <row r="321" spans="30:31" hidden="1">
      <c r="AD321" s="20" t="str">
        <f t="shared" si="26"/>
        <v/>
      </c>
      <c r="AE321" s="20" t="e">
        <f>+VLOOKUP(AD321,Catálogo!E:F,2,0)</f>
        <v>#N/A</v>
      </c>
    </row>
    <row r="322" spans="30:31" hidden="1">
      <c r="AD322" s="20" t="str">
        <f t="shared" si="26"/>
        <v/>
      </c>
      <c r="AE322" s="20" t="e">
        <f>+VLOOKUP(AD322,Catálogo!E:F,2,0)</f>
        <v>#N/A</v>
      </c>
    </row>
    <row r="323" spans="30:31" hidden="1">
      <c r="AD323" s="20" t="str">
        <f t="shared" si="26"/>
        <v/>
      </c>
      <c r="AE323" s="20" t="e">
        <f>+VLOOKUP(AD323,Catálogo!E:F,2,0)</f>
        <v>#N/A</v>
      </c>
    </row>
    <row r="324" spans="30:31" hidden="1">
      <c r="AD324" s="20" t="str">
        <f t="shared" si="26"/>
        <v/>
      </c>
      <c r="AE324" s="20" t="e">
        <f>+VLOOKUP(AD324,Catálogo!E:F,2,0)</f>
        <v>#N/A</v>
      </c>
    </row>
    <row r="325" spans="30:31" hidden="1">
      <c r="AD325" s="20" t="str">
        <f t="shared" si="26"/>
        <v/>
      </c>
      <c r="AE325" s="20" t="e">
        <f>+VLOOKUP(AD325,Catálogo!E:F,2,0)</f>
        <v>#N/A</v>
      </c>
    </row>
    <row r="326" spans="30:31" hidden="1">
      <c r="AD326" s="20" t="str">
        <f t="shared" si="26"/>
        <v/>
      </c>
      <c r="AE326" s="20" t="e">
        <f>+VLOOKUP(AD326,Catálogo!E:F,2,0)</f>
        <v>#N/A</v>
      </c>
    </row>
    <row r="327" spans="30:31" hidden="1">
      <c r="AD327" s="20" t="str">
        <f t="shared" si="26"/>
        <v/>
      </c>
      <c r="AE327" s="20" t="e">
        <f>+VLOOKUP(AD327,Catálogo!E:F,2,0)</f>
        <v>#N/A</v>
      </c>
    </row>
    <row r="328" spans="30:31" hidden="1">
      <c r="AD328" s="20" t="str">
        <f t="shared" si="26"/>
        <v/>
      </c>
      <c r="AE328" s="20" t="e">
        <f>+VLOOKUP(AD328,Catálogo!E:F,2,0)</f>
        <v>#N/A</v>
      </c>
    </row>
    <row r="329" spans="30:31" hidden="1">
      <c r="AD329" s="20" t="str">
        <f t="shared" si="26"/>
        <v/>
      </c>
      <c r="AE329" s="20" t="e">
        <f>+VLOOKUP(AD329,Catálogo!E:F,2,0)</f>
        <v>#N/A</v>
      </c>
    </row>
    <row r="330" spans="30:31" hidden="1">
      <c r="AD330" s="20" t="str">
        <f t="shared" si="26"/>
        <v/>
      </c>
      <c r="AE330" s="20" t="e">
        <f>+VLOOKUP(AD330,Catálogo!E:F,2,0)</f>
        <v>#N/A</v>
      </c>
    </row>
    <row r="331" spans="30:31" hidden="1">
      <c r="AD331" s="20" t="str">
        <f t="shared" ref="AD331:AD394" si="27">+CONCATENATE(A331,B331,D331)</f>
        <v/>
      </c>
      <c r="AE331" s="20" t="e">
        <f>+VLOOKUP(AD331,Catálogo!E:F,2,0)</f>
        <v>#N/A</v>
      </c>
    </row>
    <row r="332" spans="30:31" hidden="1">
      <c r="AD332" s="20" t="str">
        <f t="shared" si="27"/>
        <v/>
      </c>
      <c r="AE332" s="20" t="e">
        <f>+VLOOKUP(AD332,Catálogo!E:F,2,0)</f>
        <v>#N/A</v>
      </c>
    </row>
    <row r="333" spans="30:31" hidden="1">
      <c r="AD333" s="20" t="str">
        <f t="shared" si="27"/>
        <v/>
      </c>
      <c r="AE333" s="20" t="e">
        <f>+VLOOKUP(AD333,Catálogo!E:F,2,0)</f>
        <v>#N/A</v>
      </c>
    </row>
    <row r="334" spans="30:31" hidden="1">
      <c r="AD334" s="20" t="str">
        <f t="shared" si="27"/>
        <v/>
      </c>
      <c r="AE334" s="20" t="e">
        <f>+VLOOKUP(AD334,Catálogo!E:F,2,0)</f>
        <v>#N/A</v>
      </c>
    </row>
    <row r="335" spans="30:31" hidden="1">
      <c r="AD335" s="20" t="str">
        <f t="shared" si="27"/>
        <v/>
      </c>
      <c r="AE335" s="20" t="e">
        <f>+VLOOKUP(AD335,Catálogo!E:F,2,0)</f>
        <v>#N/A</v>
      </c>
    </row>
    <row r="336" spans="30:31" hidden="1">
      <c r="AD336" s="20" t="str">
        <f t="shared" si="27"/>
        <v/>
      </c>
      <c r="AE336" s="20" t="e">
        <f>+VLOOKUP(AD336,Catálogo!E:F,2,0)</f>
        <v>#N/A</v>
      </c>
    </row>
    <row r="337" spans="30:31" hidden="1">
      <c r="AD337" s="20" t="str">
        <f t="shared" si="27"/>
        <v/>
      </c>
      <c r="AE337" s="20" t="e">
        <f>+VLOOKUP(AD337,Catálogo!E:F,2,0)</f>
        <v>#N/A</v>
      </c>
    </row>
    <row r="338" spans="30:31" hidden="1">
      <c r="AD338" s="20" t="str">
        <f t="shared" si="27"/>
        <v/>
      </c>
      <c r="AE338" s="20" t="e">
        <f>+VLOOKUP(AD338,Catálogo!E:F,2,0)</f>
        <v>#N/A</v>
      </c>
    </row>
    <row r="339" spans="30:31" hidden="1">
      <c r="AD339" s="20" t="str">
        <f t="shared" si="27"/>
        <v/>
      </c>
      <c r="AE339" s="20" t="e">
        <f>+VLOOKUP(AD339,Catálogo!E:F,2,0)</f>
        <v>#N/A</v>
      </c>
    </row>
    <row r="340" spans="30:31" hidden="1">
      <c r="AD340" s="20" t="str">
        <f t="shared" si="27"/>
        <v/>
      </c>
      <c r="AE340" s="20" t="e">
        <f>+VLOOKUP(AD340,Catálogo!E:F,2,0)</f>
        <v>#N/A</v>
      </c>
    </row>
    <row r="341" spans="30:31" hidden="1">
      <c r="AD341" s="20" t="str">
        <f t="shared" si="27"/>
        <v/>
      </c>
      <c r="AE341" s="20" t="e">
        <f>+VLOOKUP(AD341,Catálogo!E:F,2,0)</f>
        <v>#N/A</v>
      </c>
    </row>
    <row r="342" spans="30:31" hidden="1">
      <c r="AD342" s="20" t="str">
        <f t="shared" si="27"/>
        <v/>
      </c>
      <c r="AE342" s="20" t="e">
        <f>+VLOOKUP(AD342,Catálogo!E:F,2,0)</f>
        <v>#N/A</v>
      </c>
    </row>
    <row r="343" spans="30:31" hidden="1">
      <c r="AD343" s="20" t="str">
        <f t="shared" si="27"/>
        <v/>
      </c>
      <c r="AE343" s="20" t="e">
        <f>+VLOOKUP(AD343,Catálogo!E:F,2,0)</f>
        <v>#N/A</v>
      </c>
    </row>
    <row r="344" spans="30:31" hidden="1">
      <c r="AD344" s="20" t="str">
        <f t="shared" si="27"/>
        <v/>
      </c>
      <c r="AE344" s="20" t="e">
        <f>+VLOOKUP(AD344,Catálogo!E:F,2,0)</f>
        <v>#N/A</v>
      </c>
    </row>
    <row r="345" spans="30:31" hidden="1">
      <c r="AD345" s="20" t="str">
        <f t="shared" si="27"/>
        <v/>
      </c>
      <c r="AE345" s="20" t="e">
        <f>+VLOOKUP(AD345,Catálogo!E:F,2,0)</f>
        <v>#N/A</v>
      </c>
    </row>
    <row r="346" spans="30:31" hidden="1">
      <c r="AD346" s="20" t="str">
        <f t="shared" si="27"/>
        <v/>
      </c>
      <c r="AE346" s="20" t="e">
        <f>+VLOOKUP(AD346,Catálogo!E:F,2,0)</f>
        <v>#N/A</v>
      </c>
    </row>
    <row r="347" spans="30:31" hidden="1">
      <c r="AD347" s="20" t="str">
        <f t="shared" si="27"/>
        <v/>
      </c>
      <c r="AE347" s="20" t="e">
        <f>+VLOOKUP(AD347,Catálogo!E:F,2,0)</f>
        <v>#N/A</v>
      </c>
    </row>
    <row r="348" spans="30:31" hidden="1">
      <c r="AD348" s="20" t="str">
        <f t="shared" si="27"/>
        <v/>
      </c>
      <c r="AE348" s="20" t="e">
        <f>+VLOOKUP(AD348,Catálogo!E:F,2,0)</f>
        <v>#N/A</v>
      </c>
    </row>
    <row r="349" spans="30:31" hidden="1">
      <c r="AD349" s="20" t="str">
        <f t="shared" si="27"/>
        <v/>
      </c>
      <c r="AE349" s="20" t="e">
        <f>+VLOOKUP(AD349,Catálogo!E:F,2,0)</f>
        <v>#N/A</v>
      </c>
    </row>
    <row r="350" spans="30:31" hidden="1">
      <c r="AD350" s="20" t="str">
        <f t="shared" si="27"/>
        <v/>
      </c>
      <c r="AE350" s="20" t="e">
        <f>+VLOOKUP(AD350,Catálogo!E:F,2,0)</f>
        <v>#N/A</v>
      </c>
    </row>
    <row r="351" spans="30:31" hidden="1">
      <c r="AD351" s="20" t="str">
        <f t="shared" si="27"/>
        <v/>
      </c>
      <c r="AE351" s="20" t="e">
        <f>+VLOOKUP(AD351,Catálogo!E:F,2,0)</f>
        <v>#N/A</v>
      </c>
    </row>
    <row r="352" spans="30:31" hidden="1">
      <c r="AD352" s="20" t="str">
        <f t="shared" si="27"/>
        <v/>
      </c>
      <c r="AE352" s="20" t="e">
        <f>+VLOOKUP(AD352,Catálogo!E:F,2,0)</f>
        <v>#N/A</v>
      </c>
    </row>
    <row r="353" spans="30:31" hidden="1">
      <c r="AD353" s="20" t="str">
        <f t="shared" si="27"/>
        <v/>
      </c>
      <c r="AE353" s="20" t="e">
        <f>+VLOOKUP(AD353,Catálogo!E:F,2,0)</f>
        <v>#N/A</v>
      </c>
    </row>
    <row r="354" spans="30:31" hidden="1">
      <c r="AD354" s="20" t="str">
        <f t="shared" si="27"/>
        <v/>
      </c>
      <c r="AE354" s="20" t="e">
        <f>+VLOOKUP(AD354,Catálogo!E:F,2,0)</f>
        <v>#N/A</v>
      </c>
    </row>
    <row r="355" spans="30:31" hidden="1">
      <c r="AD355" s="20" t="str">
        <f t="shared" si="27"/>
        <v/>
      </c>
      <c r="AE355" s="20" t="e">
        <f>+VLOOKUP(AD355,Catálogo!E:F,2,0)</f>
        <v>#N/A</v>
      </c>
    </row>
    <row r="356" spans="30:31" hidden="1">
      <c r="AD356" s="20" t="str">
        <f t="shared" si="27"/>
        <v/>
      </c>
      <c r="AE356" s="20" t="e">
        <f>+VLOOKUP(AD356,Catálogo!E:F,2,0)</f>
        <v>#N/A</v>
      </c>
    </row>
    <row r="357" spans="30:31" hidden="1">
      <c r="AD357" s="20" t="str">
        <f t="shared" si="27"/>
        <v/>
      </c>
      <c r="AE357" s="20" t="e">
        <f>+VLOOKUP(AD357,Catálogo!E:F,2,0)</f>
        <v>#N/A</v>
      </c>
    </row>
    <row r="358" spans="30:31" hidden="1">
      <c r="AD358" s="20" t="str">
        <f t="shared" si="27"/>
        <v/>
      </c>
      <c r="AE358" s="20" t="e">
        <f>+VLOOKUP(AD358,Catálogo!E:F,2,0)</f>
        <v>#N/A</v>
      </c>
    </row>
    <row r="359" spans="30:31" hidden="1">
      <c r="AD359" s="20" t="str">
        <f t="shared" si="27"/>
        <v/>
      </c>
      <c r="AE359" s="20" t="e">
        <f>+VLOOKUP(AD359,Catálogo!E:F,2,0)</f>
        <v>#N/A</v>
      </c>
    </row>
    <row r="360" spans="30:31" hidden="1">
      <c r="AD360" s="20" t="str">
        <f t="shared" si="27"/>
        <v/>
      </c>
      <c r="AE360" s="20" t="e">
        <f>+VLOOKUP(AD360,Catálogo!E:F,2,0)</f>
        <v>#N/A</v>
      </c>
    </row>
    <row r="361" spans="30:31" hidden="1">
      <c r="AD361" s="20" t="str">
        <f t="shared" si="27"/>
        <v/>
      </c>
      <c r="AE361" s="20" t="e">
        <f>+VLOOKUP(AD361,Catálogo!E:F,2,0)</f>
        <v>#N/A</v>
      </c>
    </row>
    <row r="362" spans="30:31" hidden="1">
      <c r="AD362" s="20" t="str">
        <f t="shared" si="27"/>
        <v/>
      </c>
      <c r="AE362" s="20" t="e">
        <f>+VLOOKUP(AD362,Catálogo!E:F,2,0)</f>
        <v>#N/A</v>
      </c>
    </row>
    <row r="363" spans="30:31" hidden="1">
      <c r="AD363" s="20" t="str">
        <f t="shared" si="27"/>
        <v/>
      </c>
      <c r="AE363" s="20" t="e">
        <f>+VLOOKUP(AD363,Catálogo!E:F,2,0)</f>
        <v>#N/A</v>
      </c>
    </row>
    <row r="364" spans="30:31" hidden="1">
      <c r="AD364" s="20" t="str">
        <f t="shared" si="27"/>
        <v/>
      </c>
      <c r="AE364" s="20" t="e">
        <f>+VLOOKUP(AD364,Catálogo!E:F,2,0)</f>
        <v>#N/A</v>
      </c>
    </row>
    <row r="365" spans="30:31" hidden="1">
      <c r="AD365" s="20" t="str">
        <f t="shared" si="27"/>
        <v/>
      </c>
      <c r="AE365" s="20" t="e">
        <f>+VLOOKUP(AD365,Catálogo!E:F,2,0)</f>
        <v>#N/A</v>
      </c>
    </row>
    <row r="366" spans="30:31" hidden="1">
      <c r="AD366" s="20" t="str">
        <f t="shared" si="27"/>
        <v/>
      </c>
      <c r="AE366" s="20" t="e">
        <f>+VLOOKUP(AD366,Catálogo!E:F,2,0)</f>
        <v>#N/A</v>
      </c>
    </row>
    <row r="367" spans="30:31" hidden="1">
      <c r="AD367" s="20" t="str">
        <f t="shared" si="27"/>
        <v/>
      </c>
      <c r="AE367" s="20" t="e">
        <f>+VLOOKUP(AD367,Catálogo!E:F,2,0)</f>
        <v>#N/A</v>
      </c>
    </row>
    <row r="368" spans="30:31" hidden="1">
      <c r="AD368" s="20" t="str">
        <f t="shared" si="27"/>
        <v/>
      </c>
      <c r="AE368" s="20" t="e">
        <f>+VLOOKUP(AD368,Catálogo!E:F,2,0)</f>
        <v>#N/A</v>
      </c>
    </row>
    <row r="369" spans="30:31" hidden="1">
      <c r="AD369" s="20" t="str">
        <f t="shared" si="27"/>
        <v/>
      </c>
      <c r="AE369" s="20" t="e">
        <f>+VLOOKUP(AD369,Catálogo!E:F,2,0)</f>
        <v>#N/A</v>
      </c>
    </row>
    <row r="370" spans="30:31" hidden="1">
      <c r="AD370" s="20" t="str">
        <f t="shared" si="27"/>
        <v/>
      </c>
      <c r="AE370" s="20" t="e">
        <f>+VLOOKUP(AD370,Catálogo!E:F,2,0)</f>
        <v>#N/A</v>
      </c>
    </row>
    <row r="371" spans="30:31" hidden="1">
      <c r="AD371" s="20" t="str">
        <f t="shared" si="27"/>
        <v/>
      </c>
      <c r="AE371" s="20" t="e">
        <f>+VLOOKUP(AD371,Catálogo!E:F,2,0)</f>
        <v>#N/A</v>
      </c>
    </row>
    <row r="372" spans="30:31" hidden="1">
      <c r="AD372" s="20" t="str">
        <f t="shared" si="27"/>
        <v/>
      </c>
      <c r="AE372" s="20" t="e">
        <f>+VLOOKUP(AD372,Catálogo!E:F,2,0)</f>
        <v>#N/A</v>
      </c>
    </row>
    <row r="373" spans="30:31" hidden="1">
      <c r="AD373" s="20" t="str">
        <f t="shared" si="27"/>
        <v/>
      </c>
      <c r="AE373" s="20" t="e">
        <f>+VLOOKUP(AD373,Catálogo!E:F,2,0)</f>
        <v>#N/A</v>
      </c>
    </row>
    <row r="374" spans="30:31" hidden="1">
      <c r="AD374" s="20" t="str">
        <f t="shared" si="27"/>
        <v/>
      </c>
      <c r="AE374" s="20" t="e">
        <f>+VLOOKUP(AD374,Catálogo!E:F,2,0)</f>
        <v>#N/A</v>
      </c>
    </row>
    <row r="375" spans="30:31" hidden="1">
      <c r="AD375" s="20" t="str">
        <f t="shared" si="27"/>
        <v/>
      </c>
      <c r="AE375" s="20" t="e">
        <f>+VLOOKUP(AD375,Catálogo!E:F,2,0)</f>
        <v>#N/A</v>
      </c>
    </row>
    <row r="376" spans="30:31" hidden="1">
      <c r="AD376" s="20" t="str">
        <f t="shared" si="27"/>
        <v/>
      </c>
      <c r="AE376" s="20" t="e">
        <f>+VLOOKUP(AD376,Catálogo!E:F,2,0)</f>
        <v>#N/A</v>
      </c>
    </row>
    <row r="377" spans="30:31" hidden="1">
      <c r="AD377" s="20" t="str">
        <f t="shared" si="27"/>
        <v/>
      </c>
      <c r="AE377" s="20" t="e">
        <f>+VLOOKUP(AD377,Catálogo!E:F,2,0)</f>
        <v>#N/A</v>
      </c>
    </row>
    <row r="378" spans="30:31" hidden="1">
      <c r="AD378" s="20" t="str">
        <f t="shared" si="27"/>
        <v/>
      </c>
      <c r="AE378" s="20" t="e">
        <f>+VLOOKUP(AD378,Catálogo!E:F,2,0)</f>
        <v>#N/A</v>
      </c>
    </row>
    <row r="379" spans="30:31" hidden="1">
      <c r="AD379" s="20" t="str">
        <f t="shared" si="27"/>
        <v/>
      </c>
      <c r="AE379" s="20" t="e">
        <f>+VLOOKUP(AD379,Catálogo!E:F,2,0)</f>
        <v>#N/A</v>
      </c>
    </row>
    <row r="380" spans="30:31" hidden="1">
      <c r="AD380" s="20" t="str">
        <f t="shared" si="27"/>
        <v/>
      </c>
      <c r="AE380" s="20" t="e">
        <f>+VLOOKUP(AD380,Catálogo!E:F,2,0)</f>
        <v>#N/A</v>
      </c>
    </row>
    <row r="381" spans="30:31" hidden="1">
      <c r="AD381" s="20" t="str">
        <f t="shared" si="27"/>
        <v/>
      </c>
      <c r="AE381" s="20" t="e">
        <f>+VLOOKUP(AD381,Catálogo!E:F,2,0)</f>
        <v>#N/A</v>
      </c>
    </row>
    <row r="382" spans="30:31" hidden="1">
      <c r="AD382" s="20" t="str">
        <f t="shared" si="27"/>
        <v/>
      </c>
      <c r="AE382" s="20" t="e">
        <f>+VLOOKUP(AD382,Catálogo!E:F,2,0)</f>
        <v>#N/A</v>
      </c>
    </row>
    <row r="383" spans="30:31" hidden="1">
      <c r="AD383" s="20" t="str">
        <f t="shared" si="27"/>
        <v/>
      </c>
      <c r="AE383" s="20" t="e">
        <f>+VLOOKUP(AD383,Catálogo!E:F,2,0)</f>
        <v>#N/A</v>
      </c>
    </row>
    <row r="384" spans="30:31" hidden="1">
      <c r="AD384" s="20" t="str">
        <f t="shared" si="27"/>
        <v/>
      </c>
      <c r="AE384" s="20" t="e">
        <f>+VLOOKUP(AD384,Catálogo!E:F,2,0)</f>
        <v>#N/A</v>
      </c>
    </row>
    <row r="385" spans="30:31" hidden="1">
      <c r="AD385" s="20" t="str">
        <f t="shared" si="27"/>
        <v/>
      </c>
      <c r="AE385" s="20" t="e">
        <f>+VLOOKUP(AD385,Catálogo!E:F,2,0)</f>
        <v>#N/A</v>
      </c>
    </row>
    <row r="386" spans="30:31" hidden="1">
      <c r="AD386" s="20" t="str">
        <f t="shared" si="27"/>
        <v/>
      </c>
      <c r="AE386" s="20" t="e">
        <f>+VLOOKUP(AD386,Catálogo!E:F,2,0)</f>
        <v>#N/A</v>
      </c>
    </row>
    <row r="387" spans="30:31" hidden="1">
      <c r="AD387" s="20" t="str">
        <f t="shared" si="27"/>
        <v/>
      </c>
      <c r="AE387" s="20" t="e">
        <f>+VLOOKUP(AD387,Catálogo!E:F,2,0)</f>
        <v>#N/A</v>
      </c>
    </row>
    <row r="388" spans="30:31" hidden="1">
      <c r="AD388" s="20" t="str">
        <f t="shared" si="27"/>
        <v/>
      </c>
      <c r="AE388" s="20" t="e">
        <f>+VLOOKUP(AD388,Catálogo!E:F,2,0)</f>
        <v>#N/A</v>
      </c>
    </row>
    <row r="389" spans="30:31" hidden="1">
      <c r="AD389" s="20" t="str">
        <f t="shared" si="27"/>
        <v/>
      </c>
      <c r="AE389" s="20" t="e">
        <f>+VLOOKUP(AD389,Catálogo!E:F,2,0)</f>
        <v>#N/A</v>
      </c>
    </row>
    <row r="390" spans="30:31" hidden="1">
      <c r="AD390" s="20" t="str">
        <f t="shared" si="27"/>
        <v/>
      </c>
      <c r="AE390" s="20" t="e">
        <f>+VLOOKUP(AD390,Catálogo!E:F,2,0)</f>
        <v>#N/A</v>
      </c>
    </row>
    <row r="391" spans="30:31" hidden="1">
      <c r="AD391" s="20" t="str">
        <f t="shared" si="27"/>
        <v/>
      </c>
      <c r="AE391" s="20" t="e">
        <f>+VLOOKUP(AD391,Catálogo!E:F,2,0)</f>
        <v>#N/A</v>
      </c>
    </row>
    <row r="392" spans="30:31" hidden="1">
      <c r="AD392" s="20" t="str">
        <f t="shared" si="27"/>
        <v/>
      </c>
      <c r="AE392" s="20" t="e">
        <f>+VLOOKUP(AD392,Catálogo!E:F,2,0)</f>
        <v>#N/A</v>
      </c>
    </row>
    <row r="393" spans="30:31" hidden="1">
      <c r="AD393" s="20" t="str">
        <f t="shared" si="27"/>
        <v/>
      </c>
      <c r="AE393" s="20" t="e">
        <f>+VLOOKUP(AD393,Catálogo!E:F,2,0)</f>
        <v>#N/A</v>
      </c>
    </row>
    <row r="394" spans="30:31" hidden="1">
      <c r="AD394" s="20" t="str">
        <f t="shared" si="27"/>
        <v/>
      </c>
      <c r="AE394" s="20" t="e">
        <f>+VLOOKUP(AD394,Catálogo!E:F,2,0)</f>
        <v>#N/A</v>
      </c>
    </row>
    <row r="395" spans="30:31" hidden="1">
      <c r="AD395" s="20" t="str">
        <f t="shared" ref="AD395:AD458" si="28">+CONCATENATE(A395,B395,D395)</f>
        <v/>
      </c>
      <c r="AE395" s="20" t="e">
        <f>+VLOOKUP(AD395,Catálogo!E:F,2,0)</f>
        <v>#N/A</v>
      </c>
    </row>
    <row r="396" spans="30:31" hidden="1">
      <c r="AD396" s="20" t="str">
        <f t="shared" si="28"/>
        <v/>
      </c>
      <c r="AE396" s="20" t="e">
        <f>+VLOOKUP(AD396,Catálogo!E:F,2,0)</f>
        <v>#N/A</v>
      </c>
    </row>
    <row r="397" spans="30:31" hidden="1">
      <c r="AD397" s="20" t="str">
        <f t="shared" si="28"/>
        <v/>
      </c>
      <c r="AE397" s="20" t="e">
        <f>+VLOOKUP(AD397,Catálogo!E:F,2,0)</f>
        <v>#N/A</v>
      </c>
    </row>
    <row r="398" spans="30:31" hidden="1">
      <c r="AD398" s="20" t="str">
        <f t="shared" si="28"/>
        <v/>
      </c>
      <c r="AE398" s="20" t="e">
        <f>+VLOOKUP(AD398,Catálogo!E:F,2,0)</f>
        <v>#N/A</v>
      </c>
    </row>
    <row r="399" spans="30:31" hidden="1">
      <c r="AD399" s="20" t="str">
        <f t="shared" si="28"/>
        <v/>
      </c>
      <c r="AE399" s="20" t="e">
        <f>+VLOOKUP(AD399,Catálogo!E:F,2,0)</f>
        <v>#N/A</v>
      </c>
    </row>
    <row r="400" spans="30:31" hidden="1">
      <c r="AD400" s="20" t="str">
        <f t="shared" si="28"/>
        <v/>
      </c>
      <c r="AE400" s="20" t="e">
        <f>+VLOOKUP(AD400,Catálogo!E:F,2,0)</f>
        <v>#N/A</v>
      </c>
    </row>
    <row r="401" spans="30:31" hidden="1">
      <c r="AD401" s="20" t="str">
        <f t="shared" si="28"/>
        <v/>
      </c>
      <c r="AE401" s="20" t="e">
        <f>+VLOOKUP(AD401,Catálogo!E:F,2,0)</f>
        <v>#N/A</v>
      </c>
    </row>
    <row r="402" spans="30:31" hidden="1">
      <c r="AD402" s="20" t="str">
        <f t="shared" si="28"/>
        <v/>
      </c>
      <c r="AE402" s="20" t="e">
        <f>+VLOOKUP(AD402,Catálogo!E:F,2,0)</f>
        <v>#N/A</v>
      </c>
    </row>
    <row r="403" spans="30:31" hidden="1">
      <c r="AD403" s="20" t="str">
        <f t="shared" si="28"/>
        <v/>
      </c>
      <c r="AE403" s="20" t="e">
        <f>+VLOOKUP(AD403,Catálogo!E:F,2,0)</f>
        <v>#N/A</v>
      </c>
    </row>
    <row r="404" spans="30:31" hidden="1">
      <c r="AD404" s="20" t="str">
        <f t="shared" si="28"/>
        <v/>
      </c>
      <c r="AE404" s="20" t="e">
        <f>+VLOOKUP(AD404,Catálogo!E:F,2,0)</f>
        <v>#N/A</v>
      </c>
    </row>
    <row r="405" spans="30:31" hidden="1">
      <c r="AD405" s="20" t="str">
        <f t="shared" si="28"/>
        <v/>
      </c>
      <c r="AE405" s="20" t="e">
        <f>+VLOOKUP(AD405,Catálogo!E:F,2,0)</f>
        <v>#N/A</v>
      </c>
    </row>
    <row r="406" spans="30:31" hidden="1">
      <c r="AD406" s="20" t="str">
        <f t="shared" si="28"/>
        <v/>
      </c>
      <c r="AE406" s="20" t="e">
        <f>+VLOOKUP(AD406,Catálogo!E:F,2,0)</f>
        <v>#N/A</v>
      </c>
    </row>
    <row r="407" spans="30:31" hidden="1">
      <c r="AD407" s="20" t="str">
        <f t="shared" si="28"/>
        <v/>
      </c>
      <c r="AE407" s="20" t="e">
        <f>+VLOOKUP(AD407,Catálogo!E:F,2,0)</f>
        <v>#N/A</v>
      </c>
    </row>
    <row r="408" spans="30:31" hidden="1">
      <c r="AD408" s="20" t="str">
        <f t="shared" si="28"/>
        <v/>
      </c>
      <c r="AE408" s="20" t="e">
        <f>+VLOOKUP(AD408,Catálogo!E:F,2,0)</f>
        <v>#N/A</v>
      </c>
    </row>
    <row r="409" spans="30:31" hidden="1">
      <c r="AD409" s="20" t="str">
        <f t="shared" si="28"/>
        <v/>
      </c>
      <c r="AE409" s="20" t="e">
        <f>+VLOOKUP(AD409,Catálogo!E:F,2,0)</f>
        <v>#N/A</v>
      </c>
    </row>
    <row r="410" spans="30:31" hidden="1">
      <c r="AD410" s="20" t="str">
        <f t="shared" si="28"/>
        <v/>
      </c>
      <c r="AE410" s="20" t="e">
        <f>+VLOOKUP(AD410,Catálogo!E:F,2,0)</f>
        <v>#N/A</v>
      </c>
    </row>
    <row r="411" spans="30:31" hidden="1">
      <c r="AD411" s="20" t="str">
        <f t="shared" si="28"/>
        <v/>
      </c>
      <c r="AE411" s="20" t="e">
        <f>+VLOOKUP(AD411,Catálogo!E:F,2,0)</f>
        <v>#N/A</v>
      </c>
    </row>
    <row r="412" spans="30:31" hidden="1">
      <c r="AD412" s="20" t="str">
        <f t="shared" si="28"/>
        <v/>
      </c>
      <c r="AE412" s="20" t="e">
        <f>+VLOOKUP(AD412,Catálogo!E:F,2,0)</f>
        <v>#N/A</v>
      </c>
    </row>
    <row r="413" spans="30:31" hidden="1">
      <c r="AD413" s="20" t="str">
        <f t="shared" si="28"/>
        <v/>
      </c>
      <c r="AE413" s="20" t="e">
        <f>+VLOOKUP(AD413,Catálogo!E:F,2,0)</f>
        <v>#N/A</v>
      </c>
    </row>
    <row r="414" spans="30:31" hidden="1">
      <c r="AD414" s="20" t="str">
        <f t="shared" si="28"/>
        <v/>
      </c>
      <c r="AE414" s="20" t="e">
        <f>+VLOOKUP(AD414,Catálogo!E:F,2,0)</f>
        <v>#N/A</v>
      </c>
    </row>
    <row r="415" spans="30:31" hidden="1">
      <c r="AD415" s="20" t="str">
        <f t="shared" si="28"/>
        <v/>
      </c>
      <c r="AE415" s="20" t="e">
        <f>+VLOOKUP(AD415,Catálogo!E:F,2,0)</f>
        <v>#N/A</v>
      </c>
    </row>
    <row r="416" spans="30:31" hidden="1">
      <c r="AD416" s="20" t="str">
        <f t="shared" si="28"/>
        <v/>
      </c>
      <c r="AE416" s="20" t="e">
        <f>+VLOOKUP(AD416,Catálogo!E:F,2,0)</f>
        <v>#N/A</v>
      </c>
    </row>
    <row r="417" spans="30:31" hidden="1">
      <c r="AD417" s="20" t="str">
        <f t="shared" si="28"/>
        <v/>
      </c>
      <c r="AE417" s="20" t="e">
        <f>+VLOOKUP(AD417,Catálogo!E:F,2,0)</f>
        <v>#N/A</v>
      </c>
    </row>
    <row r="418" spans="30:31" hidden="1">
      <c r="AD418" s="20" t="str">
        <f t="shared" si="28"/>
        <v/>
      </c>
      <c r="AE418" s="20" t="e">
        <f>+VLOOKUP(AD418,Catálogo!E:F,2,0)</f>
        <v>#N/A</v>
      </c>
    </row>
    <row r="419" spans="30:31" hidden="1">
      <c r="AD419" s="20" t="str">
        <f t="shared" si="28"/>
        <v/>
      </c>
      <c r="AE419" s="20" t="e">
        <f>+VLOOKUP(AD419,Catálogo!E:F,2,0)</f>
        <v>#N/A</v>
      </c>
    </row>
    <row r="420" spans="30:31" hidden="1">
      <c r="AD420" s="20" t="str">
        <f t="shared" si="28"/>
        <v/>
      </c>
      <c r="AE420" s="20" t="e">
        <f>+VLOOKUP(AD420,Catálogo!E:F,2,0)</f>
        <v>#N/A</v>
      </c>
    </row>
    <row r="421" spans="30:31" hidden="1">
      <c r="AD421" s="20" t="str">
        <f t="shared" si="28"/>
        <v/>
      </c>
      <c r="AE421" s="20" t="e">
        <f>+VLOOKUP(AD421,Catálogo!E:F,2,0)</f>
        <v>#N/A</v>
      </c>
    </row>
    <row r="422" spans="30:31" hidden="1">
      <c r="AD422" s="20" t="str">
        <f t="shared" si="28"/>
        <v/>
      </c>
      <c r="AE422" s="20" t="e">
        <f>+VLOOKUP(AD422,Catálogo!E:F,2,0)</f>
        <v>#N/A</v>
      </c>
    </row>
    <row r="423" spans="30:31" hidden="1">
      <c r="AD423" s="20" t="str">
        <f t="shared" si="28"/>
        <v/>
      </c>
      <c r="AE423" s="20" t="e">
        <f>+VLOOKUP(AD423,Catálogo!E:F,2,0)</f>
        <v>#N/A</v>
      </c>
    </row>
    <row r="424" spans="30:31" hidden="1">
      <c r="AD424" s="20" t="str">
        <f t="shared" si="28"/>
        <v/>
      </c>
      <c r="AE424" s="20" t="e">
        <f>+VLOOKUP(AD424,Catálogo!E:F,2,0)</f>
        <v>#N/A</v>
      </c>
    </row>
    <row r="425" spans="30:31" hidden="1">
      <c r="AD425" s="20" t="str">
        <f t="shared" si="28"/>
        <v/>
      </c>
      <c r="AE425" s="20" t="e">
        <f>+VLOOKUP(AD425,Catálogo!E:F,2,0)</f>
        <v>#N/A</v>
      </c>
    </row>
    <row r="426" spans="30:31" hidden="1">
      <c r="AD426" s="20" t="str">
        <f t="shared" si="28"/>
        <v/>
      </c>
      <c r="AE426" s="20" t="e">
        <f>+VLOOKUP(AD426,Catálogo!E:F,2,0)</f>
        <v>#N/A</v>
      </c>
    </row>
    <row r="427" spans="30:31" hidden="1">
      <c r="AD427" s="20" t="str">
        <f t="shared" si="28"/>
        <v/>
      </c>
      <c r="AE427" s="20" t="e">
        <f>+VLOOKUP(AD427,Catálogo!E:F,2,0)</f>
        <v>#N/A</v>
      </c>
    </row>
    <row r="428" spans="30:31" hidden="1">
      <c r="AD428" s="20" t="str">
        <f t="shared" si="28"/>
        <v/>
      </c>
      <c r="AE428" s="20" t="e">
        <f>+VLOOKUP(AD428,Catálogo!E:F,2,0)</f>
        <v>#N/A</v>
      </c>
    </row>
    <row r="429" spans="30:31" hidden="1">
      <c r="AD429" s="20" t="str">
        <f t="shared" si="28"/>
        <v/>
      </c>
      <c r="AE429" s="20" t="e">
        <f>+VLOOKUP(AD429,Catálogo!E:F,2,0)</f>
        <v>#N/A</v>
      </c>
    </row>
    <row r="430" spans="30:31" hidden="1">
      <c r="AD430" s="20" t="str">
        <f t="shared" si="28"/>
        <v/>
      </c>
      <c r="AE430" s="20" t="e">
        <f>+VLOOKUP(AD430,Catálogo!E:F,2,0)</f>
        <v>#N/A</v>
      </c>
    </row>
    <row r="431" spans="30:31" hidden="1">
      <c r="AD431" s="20" t="str">
        <f t="shared" si="28"/>
        <v/>
      </c>
      <c r="AE431" s="20" t="e">
        <f>+VLOOKUP(AD431,Catálogo!E:F,2,0)</f>
        <v>#N/A</v>
      </c>
    </row>
    <row r="432" spans="30:31" hidden="1">
      <c r="AD432" s="20" t="str">
        <f t="shared" si="28"/>
        <v/>
      </c>
      <c r="AE432" s="20" t="e">
        <f>+VLOOKUP(AD432,Catálogo!E:F,2,0)</f>
        <v>#N/A</v>
      </c>
    </row>
    <row r="433" spans="30:31" hidden="1">
      <c r="AD433" s="20" t="str">
        <f t="shared" si="28"/>
        <v/>
      </c>
      <c r="AE433" s="20" t="e">
        <f>+VLOOKUP(AD433,Catálogo!E:F,2,0)</f>
        <v>#N/A</v>
      </c>
    </row>
    <row r="434" spans="30:31" hidden="1">
      <c r="AD434" s="20" t="str">
        <f t="shared" si="28"/>
        <v/>
      </c>
      <c r="AE434" s="20" t="e">
        <f>+VLOOKUP(AD434,Catálogo!E:F,2,0)</f>
        <v>#N/A</v>
      </c>
    </row>
    <row r="435" spans="30:31" hidden="1">
      <c r="AD435" s="20" t="str">
        <f t="shared" si="28"/>
        <v/>
      </c>
      <c r="AE435" s="20" t="e">
        <f>+VLOOKUP(AD435,Catálogo!E:F,2,0)</f>
        <v>#N/A</v>
      </c>
    </row>
    <row r="436" spans="30:31" hidden="1">
      <c r="AD436" s="20" t="str">
        <f t="shared" si="28"/>
        <v/>
      </c>
      <c r="AE436" s="20" t="e">
        <f>+VLOOKUP(AD436,Catálogo!E:F,2,0)</f>
        <v>#N/A</v>
      </c>
    </row>
    <row r="437" spans="30:31" hidden="1">
      <c r="AD437" s="20" t="str">
        <f t="shared" si="28"/>
        <v/>
      </c>
      <c r="AE437" s="20" t="e">
        <f>+VLOOKUP(AD437,Catálogo!E:F,2,0)</f>
        <v>#N/A</v>
      </c>
    </row>
    <row r="438" spans="30:31" hidden="1">
      <c r="AD438" s="20" t="str">
        <f t="shared" si="28"/>
        <v/>
      </c>
      <c r="AE438" s="20" t="e">
        <f>+VLOOKUP(AD438,Catálogo!E:F,2,0)</f>
        <v>#N/A</v>
      </c>
    </row>
    <row r="439" spans="30:31" hidden="1">
      <c r="AD439" s="20" t="str">
        <f t="shared" si="28"/>
        <v/>
      </c>
      <c r="AE439" s="20" t="e">
        <f>+VLOOKUP(AD439,Catálogo!E:F,2,0)</f>
        <v>#N/A</v>
      </c>
    </row>
    <row r="440" spans="30:31" hidden="1">
      <c r="AD440" s="20" t="str">
        <f t="shared" si="28"/>
        <v/>
      </c>
      <c r="AE440" s="20" t="e">
        <f>+VLOOKUP(AD440,Catálogo!E:F,2,0)</f>
        <v>#N/A</v>
      </c>
    </row>
    <row r="441" spans="30:31" hidden="1">
      <c r="AD441" s="20" t="str">
        <f t="shared" si="28"/>
        <v/>
      </c>
      <c r="AE441" s="20" t="e">
        <f>+VLOOKUP(AD441,Catálogo!E:F,2,0)</f>
        <v>#N/A</v>
      </c>
    </row>
    <row r="442" spans="30:31" hidden="1">
      <c r="AD442" s="20" t="str">
        <f t="shared" si="28"/>
        <v/>
      </c>
      <c r="AE442" s="20" t="e">
        <f>+VLOOKUP(AD442,Catálogo!E:F,2,0)</f>
        <v>#N/A</v>
      </c>
    </row>
    <row r="443" spans="30:31" hidden="1">
      <c r="AD443" s="20" t="str">
        <f t="shared" si="28"/>
        <v/>
      </c>
      <c r="AE443" s="20" t="e">
        <f>+VLOOKUP(AD443,Catálogo!E:F,2,0)</f>
        <v>#N/A</v>
      </c>
    </row>
    <row r="444" spans="30:31" hidden="1">
      <c r="AD444" s="20" t="str">
        <f t="shared" si="28"/>
        <v/>
      </c>
      <c r="AE444" s="20" t="e">
        <f>+VLOOKUP(AD444,Catálogo!E:F,2,0)</f>
        <v>#N/A</v>
      </c>
    </row>
    <row r="445" spans="30:31" hidden="1">
      <c r="AD445" s="20" t="str">
        <f t="shared" si="28"/>
        <v/>
      </c>
      <c r="AE445" s="20" t="e">
        <f>+VLOOKUP(AD445,Catálogo!E:F,2,0)</f>
        <v>#N/A</v>
      </c>
    </row>
    <row r="446" spans="30:31" hidden="1">
      <c r="AD446" s="20" t="str">
        <f t="shared" si="28"/>
        <v/>
      </c>
      <c r="AE446" s="20" t="e">
        <f>+VLOOKUP(AD446,Catálogo!E:F,2,0)</f>
        <v>#N/A</v>
      </c>
    </row>
    <row r="447" spans="30:31" hidden="1">
      <c r="AD447" s="20" t="str">
        <f t="shared" si="28"/>
        <v/>
      </c>
      <c r="AE447" s="20" t="e">
        <f>+VLOOKUP(AD447,Catálogo!E:F,2,0)</f>
        <v>#N/A</v>
      </c>
    </row>
    <row r="448" spans="30:31" hidden="1">
      <c r="AD448" s="20" t="str">
        <f t="shared" si="28"/>
        <v/>
      </c>
      <c r="AE448" s="20" t="e">
        <f>+VLOOKUP(AD448,Catálogo!E:F,2,0)</f>
        <v>#N/A</v>
      </c>
    </row>
    <row r="449" spans="30:31" hidden="1">
      <c r="AD449" s="20" t="str">
        <f t="shared" si="28"/>
        <v/>
      </c>
      <c r="AE449" s="20" t="e">
        <f>+VLOOKUP(AD449,Catálogo!E:F,2,0)</f>
        <v>#N/A</v>
      </c>
    </row>
    <row r="450" spans="30:31" hidden="1">
      <c r="AD450" s="20" t="str">
        <f t="shared" si="28"/>
        <v/>
      </c>
      <c r="AE450" s="20" t="e">
        <f>+VLOOKUP(AD450,Catálogo!E:F,2,0)</f>
        <v>#N/A</v>
      </c>
    </row>
    <row r="451" spans="30:31" hidden="1">
      <c r="AD451" s="20" t="str">
        <f t="shared" si="28"/>
        <v/>
      </c>
      <c r="AE451" s="20" t="e">
        <f>+VLOOKUP(AD451,Catálogo!E:F,2,0)</f>
        <v>#N/A</v>
      </c>
    </row>
    <row r="452" spans="30:31" hidden="1">
      <c r="AD452" s="20" t="str">
        <f t="shared" si="28"/>
        <v/>
      </c>
      <c r="AE452" s="20" t="e">
        <f>+VLOOKUP(AD452,Catálogo!E:F,2,0)</f>
        <v>#N/A</v>
      </c>
    </row>
    <row r="453" spans="30:31" hidden="1">
      <c r="AD453" s="20" t="str">
        <f t="shared" si="28"/>
        <v/>
      </c>
      <c r="AE453" s="20" t="e">
        <f>+VLOOKUP(AD453,Catálogo!E:F,2,0)</f>
        <v>#N/A</v>
      </c>
    </row>
    <row r="454" spans="30:31" hidden="1">
      <c r="AD454" s="20" t="str">
        <f t="shared" si="28"/>
        <v/>
      </c>
      <c r="AE454" s="20" t="e">
        <f>+VLOOKUP(AD454,Catálogo!E:F,2,0)</f>
        <v>#N/A</v>
      </c>
    </row>
    <row r="455" spans="30:31" hidden="1">
      <c r="AD455" s="20" t="str">
        <f t="shared" si="28"/>
        <v/>
      </c>
      <c r="AE455" s="20" t="e">
        <f>+VLOOKUP(AD455,Catálogo!E:F,2,0)</f>
        <v>#N/A</v>
      </c>
    </row>
    <row r="456" spans="30:31" hidden="1">
      <c r="AD456" s="20" t="str">
        <f t="shared" si="28"/>
        <v/>
      </c>
      <c r="AE456" s="20" t="e">
        <f>+VLOOKUP(AD456,Catálogo!E:F,2,0)</f>
        <v>#N/A</v>
      </c>
    </row>
    <row r="457" spans="30:31" hidden="1">
      <c r="AD457" s="20" t="str">
        <f t="shared" si="28"/>
        <v/>
      </c>
      <c r="AE457" s="20" t="e">
        <f>+VLOOKUP(AD457,Catálogo!E:F,2,0)</f>
        <v>#N/A</v>
      </c>
    </row>
    <row r="458" spans="30:31" hidden="1">
      <c r="AD458" s="20" t="str">
        <f t="shared" si="28"/>
        <v/>
      </c>
      <c r="AE458" s="20" t="e">
        <f>+VLOOKUP(AD458,Catálogo!E:F,2,0)</f>
        <v>#N/A</v>
      </c>
    </row>
    <row r="459" spans="30:31" hidden="1">
      <c r="AD459" s="20" t="str">
        <f t="shared" ref="AD459:AD522" si="29">+CONCATENATE(A459,B459,D459)</f>
        <v/>
      </c>
      <c r="AE459" s="20" t="e">
        <f>+VLOOKUP(AD459,Catálogo!E:F,2,0)</f>
        <v>#N/A</v>
      </c>
    </row>
    <row r="460" spans="30:31" hidden="1">
      <c r="AD460" s="20" t="str">
        <f t="shared" si="29"/>
        <v/>
      </c>
      <c r="AE460" s="20" t="e">
        <f>+VLOOKUP(AD460,Catálogo!E:F,2,0)</f>
        <v>#N/A</v>
      </c>
    </row>
    <row r="461" spans="30:31" hidden="1">
      <c r="AD461" s="20" t="str">
        <f t="shared" si="29"/>
        <v/>
      </c>
      <c r="AE461" s="20" t="e">
        <f>+VLOOKUP(AD461,Catálogo!E:F,2,0)</f>
        <v>#N/A</v>
      </c>
    </row>
    <row r="462" spans="30:31" hidden="1">
      <c r="AD462" s="20" t="str">
        <f t="shared" si="29"/>
        <v/>
      </c>
      <c r="AE462" s="20" t="e">
        <f>+VLOOKUP(AD462,Catálogo!E:F,2,0)</f>
        <v>#N/A</v>
      </c>
    </row>
    <row r="463" spans="30:31" hidden="1">
      <c r="AD463" s="20" t="str">
        <f t="shared" si="29"/>
        <v/>
      </c>
      <c r="AE463" s="20" t="e">
        <f>+VLOOKUP(AD463,Catálogo!E:F,2,0)</f>
        <v>#N/A</v>
      </c>
    </row>
    <row r="464" spans="30:31" hidden="1">
      <c r="AD464" s="20" t="str">
        <f t="shared" si="29"/>
        <v/>
      </c>
      <c r="AE464" s="20" t="e">
        <f>+VLOOKUP(AD464,Catálogo!E:F,2,0)</f>
        <v>#N/A</v>
      </c>
    </row>
    <row r="465" spans="30:31" hidden="1">
      <c r="AD465" s="20" t="str">
        <f t="shared" si="29"/>
        <v/>
      </c>
      <c r="AE465" s="20" t="e">
        <f>+VLOOKUP(AD465,Catálogo!E:F,2,0)</f>
        <v>#N/A</v>
      </c>
    </row>
    <row r="466" spans="30:31" hidden="1">
      <c r="AD466" s="20" t="str">
        <f t="shared" si="29"/>
        <v/>
      </c>
      <c r="AE466" s="20" t="e">
        <f>+VLOOKUP(AD466,Catálogo!E:F,2,0)</f>
        <v>#N/A</v>
      </c>
    </row>
    <row r="467" spans="30:31" hidden="1">
      <c r="AD467" s="20" t="str">
        <f t="shared" si="29"/>
        <v/>
      </c>
      <c r="AE467" s="20" t="e">
        <f>+VLOOKUP(AD467,Catálogo!E:F,2,0)</f>
        <v>#N/A</v>
      </c>
    </row>
    <row r="468" spans="30:31" hidden="1">
      <c r="AD468" s="20" t="str">
        <f t="shared" si="29"/>
        <v/>
      </c>
      <c r="AE468" s="20" t="e">
        <f>+VLOOKUP(AD468,Catálogo!E:F,2,0)</f>
        <v>#N/A</v>
      </c>
    </row>
    <row r="469" spans="30:31" hidden="1">
      <c r="AD469" s="20" t="str">
        <f t="shared" si="29"/>
        <v/>
      </c>
      <c r="AE469" s="20" t="e">
        <f>+VLOOKUP(AD469,Catálogo!E:F,2,0)</f>
        <v>#N/A</v>
      </c>
    </row>
    <row r="470" spans="30:31" hidden="1">
      <c r="AD470" s="20" t="str">
        <f t="shared" si="29"/>
        <v/>
      </c>
      <c r="AE470" s="20" t="e">
        <f>+VLOOKUP(AD470,Catálogo!E:F,2,0)</f>
        <v>#N/A</v>
      </c>
    </row>
    <row r="471" spans="30:31" hidden="1">
      <c r="AD471" s="20" t="str">
        <f t="shared" si="29"/>
        <v/>
      </c>
      <c r="AE471" s="20" t="e">
        <f>+VLOOKUP(AD471,Catálogo!E:F,2,0)</f>
        <v>#N/A</v>
      </c>
    </row>
    <row r="472" spans="30:31" hidden="1">
      <c r="AD472" s="20" t="str">
        <f t="shared" si="29"/>
        <v/>
      </c>
      <c r="AE472" s="20" t="e">
        <f>+VLOOKUP(AD472,Catálogo!E:F,2,0)</f>
        <v>#N/A</v>
      </c>
    </row>
    <row r="473" spans="30:31" hidden="1">
      <c r="AD473" s="20" t="str">
        <f t="shared" si="29"/>
        <v/>
      </c>
      <c r="AE473" s="20" t="e">
        <f>+VLOOKUP(AD473,Catálogo!E:F,2,0)</f>
        <v>#N/A</v>
      </c>
    </row>
    <row r="474" spans="30:31" hidden="1">
      <c r="AD474" s="20" t="str">
        <f t="shared" si="29"/>
        <v/>
      </c>
      <c r="AE474" s="20" t="e">
        <f>+VLOOKUP(AD474,Catálogo!E:F,2,0)</f>
        <v>#N/A</v>
      </c>
    </row>
    <row r="475" spans="30:31" hidden="1">
      <c r="AD475" s="20" t="str">
        <f t="shared" si="29"/>
        <v/>
      </c>
      <c r="AE475" s="20" t="e">
        <f>+VLOOKUP(AD475,Catálogo!E:F,2,0)</f>
        <v>#N/A</v>
      </c>
    </row>
    <row r="476" spans="30:31" hidden="1">
      <c r="AD476" s="20" t="str">
        <f t="shared" si="29"/>
        <v/>
      </c>
      <c r="AE476" s="20" t="e">
        <f>+VLOOKUP(AD476,Catálogo!E:F,2,0)</f>
        <v>#N/A</v>
      </c>
    </row>
    <row r="477" spans="30:31" hidden="1">
      <c r="AD477" s="20" t="str">
        <f t="shared" si="29"/>
        <v/>
      </c>
      <c r="AE477" s="20" t="e">
        <f>+VLOOKUP(AD477,Catálogo!E:F,2,0)</f>
        <v>#N/A</v>
      </c>
    </row>
    <row r="478" spans="30:31" hidden="1">
      <c r="AD478" s="20" t="str">
        <f t="shared" si="29"/>
        <v/>
      </c>
      <c r="AE478" s="20" t="e">
        <f>+VLOOKUP(AD478,Catálogo!E:F,2,0)</f>
        <v>#N/A</v>
      </c>
    </row>
    <row r="479" spans="30:31" hidden="1">
      <c r="AD479" s="20" t="str">
        <f t="shared" si="29"/>
        <v/>
      </c>
      <c r="AE479" s="20" t="e">
        <f>+VLOOKUP(AD479,Catálogo!E:F,2,0)</f>
        <v>#N/A</v>
      </c>
    </row>
    <row r="480" spans="30:31" hidden="1">
      <c r="AD480" s="20" t="str">
        <f t="shared" si="29"/>
        <v/>
      </c>
      <c r="AE480" s="20" t="e">
        <f>+VLOOKUP(AD480,Catálogo!E:F,2,0)</f>
        <v>#N/A</v>
      </c>
    </row>
    <row r="481" spans="30:31" hidden="1">
      <c r="AD481" s="20" t="str">
        <f t="shared" si="29"/>
        <v/>
      </c>
      <c r="AE481" s="20" t="e">
        <f>+VLOOKUP(AD481,Catálogo!E:F,2,0)</f>
        <v>#N/A</v>
      </c>
    </row>
    <row r="482" spans="30:31" hidden="1">
      <c r="AD482" s="20" t="str">
        <f t="shared" si="29"/>
        <v/>
      </c>
      <c r="AE482" s="20" t="e">
        <f>+VLOOKUP(AD482,Catálogo!E:F,2,0)</f>
        <v>#N/A</v>
      </c>
    </row>
    <row r="483" spans="30:31" hidden="1">
      <c r="AD483" s="20" t="str">
        <f t="shared" si="29"/>
        <v/>
      </c>
      <c r="AE483" s="20" t="e">
        <f>+VLOOKUP(AD483,Catálogo!E:F,2,0)</f>
        <v>#N/A</v>
      </c>
    </row>
    <row r="484" spans="30:31" hidden="1">
      <c r="AD484" s="20" t="str">
        <f t="shared" si="29"/>
        <v/>
      </c>
      <c r="AE484" s="20" t="e">
        <f>+VLOOKUP(AD484,Catálogo!E:F,2,0)</f>
        <v>#N/A</v>
      </c>
    </row>
    <row r="485" spans="30:31" hidden="1">
      <c r="AD485" s="20" t="str">
        <f t="shared" si="29"/>
        <v/>
      </c>
      <c r="AE485" s="20" t="e">
        <f>+VLOOKUP(AD485,Catálogo!E:F,2,0)</f>
        <v>#N/A</v>
      </c>
    </row>
    <row r="486" spans="30:31" hidden="1">
      <c r="AD486" s="20" t="str">
        <f t="shared" si="29"/>
        <v/>
      </c>
      <c r="AE486" s="20" t="e">
        <f>+VLOOKUP(AD486,Catálogo!E:F,2,0)</f>
        <v>#N/A</v>
      </c>
    </row>
    <row r="487" spans="30:31" hidden="1">
      <c r="AD487" s="20" t="str">
        <f t="shared" si="29"/>
        <v/>
      </c>
      <c r="AE487" s="20" t="e">
        <f>+VLOOKUP(AD487,Catálogo!E:F,2,0)</f>
        <v>#N/A</v>
      </c>
    </row>
    <row r="488" spans="30:31" hidden="1">
      <c r="AD488" s="20" t="str">
        <f t="shared" si="29"/>
        <v/>
      </c>
      <c r="AE488" s="20" t="e">
        <f>+VLOOKUP(AD488,Catálogo!E:F,2,0)</f>
        <v>#N/A</v>
      </c>
    </row>
    <row r="489" spans="30:31" hidden="1">
      <c r="AD489" s="20" t="str">
        <f t="shared" si="29"/>
        <v/>
      </c>
      <c r="AE489" s="20" t="e">
        <f>+VLOOKUP(AD489,Catálogo!E:F,2,0)</f>
        <v>#N/A</v>
      </c>
    </row>
    <row r="490" spans="30:31" hidden="1">
      <c r="AD490" s="20" t="str">
        <f t="shared" si="29"/>
        <v/>
      </c>
      <c r="AE490" s="20" t="e">
        <f>+VLOOKUP(AD490,Catálogo!E:F,2,0)</f>
        <v>#N/A</v>
      </c>
    </row>
    <row r="491" spans="30:31" hidden="1">
      <c r="AD491" s="20" t="str">
        <f t="shared" si="29"/>
        <v/>
      </c>
      <c r="AE491" s="20" t="e">
        <f>+VLOOKUP(AD491,Catálogo!E:F,2,0)</f>
        <v>#N/A</v>
      </c>
    </row>
    <row r="492" spans="30:31" hidden="1">
      <c r="AD492" s="20" t="str">
        <f t="shared" si="29"/>
        <v/>
      </c>
      <c r="AE492" s="20" t="e">
        <f>+VLOOKUP(AD492,Catálogo!E:F,2,0)</f>
        <v>#N/A</v>
      </c>
    </row>
    <row r="493" spans="30:31" hidden="1">
      <c r="AD493" s="20" t="str">
        <f t="shared" si="29"/>
        <v/>
      </c>
      <c r="AE493" s="20" t="e">
        <f>+VLOOKUP(AD493,Catálogo!E:F,2,0)</f>
        <v>#N/A</v>
      </c>
    </row>
    <row r="494" spans="30:31" hidden="1">
      <c r="AD494" s="20" t="str">
        <f t="shared" si="29"/>
        <v/>
      </c>
      <c r="AE494" s="20" t="e">
        <f>+VLOOKUP(AD494,Catálogo!E:F,2,0)</f>
        <v>#N/A</v>
      </c>
    </row>
    <row r="495" spans="30:31" hidden="1">
      <c r="AD495" s="20" t="str">
        <f t="shared" si="29"/>
        <v/>
      </c>
      <c r="AE495" s="20" t="e">
        <f>+VLOOKUP(AD495,Catálogo!E:F,2,0)</f>
        <v>#N/A</v>
      </c>
    </row>
    <row r="496" spans="30:31" hidden="1">
      <c r="AD496" s="20" t="str">
        <f t="shared" si="29"/>
        <v/>
      </c>
      <c r="AE496" s="20" t="e">
        <f>+VLOOKUP(AD496,Catálogo!E:F,2,0)</f>
        <v>#N/A</v>
      </c>
    </row>
    <row r="497" spans="30:31" hidden="1">
      <c r="AD497" s="20" t="str">
        <f t="shared" si="29"/>
        <v/>
      </c>
      <c r="AE497" s="20" t="e">
        <f>+VLOOKUP(AD497,Catálogo!E:F,2,0)</f>
        <v>#N/A</v>
      </c>
    </row>
    <row r="498" spans="30:31" hidden="1">
      <c r="AD498" s="20" t="str">
        <f t="shared" si="29"/>
        <v/>
      </c>
      <c r="AE498" s="20" t="e">
        <f>+VLOOKUP(AD498,Catálogo!E:F,2,0)</f>
        <v>#N/A</v>
      </c>
    </row>
    <row r="499" spans="30:31" hidden="1">
      <c r="AD499" s="20" t="str">
        <f t="shared" si="29"/>
        <v/>
      </c>
      <c r="AE499" s="20" t="e">
        <f>+VLOOKUP(AD499,Catálogo!E:F,2,0)</f>
        <v>#N/A</v>
      </c>
    </row>
    <row r="500" spans="30:31" hidden="1">
      <c r="AD500" s="20" t="str">
        <f t="shared" si="29"/>
        <v/>
      </c>
      <c r="AE500" s="20" t="e">
        <f>+VLOOKUP(AD500,Catálogo!E:F,2,0)</f>
        <v>#N/A</v>
      </c>
    </row>
    <row r="501" spans="30:31" hidden="1">
      <c r="AD501" s="20" t="str">
        <f t="shared" si="29"/>
        <v/>
      </c>
      <c r="AE501" s="20" t="e">
        <f>+VLOOKUP(AD501,Catálogo!E:F,2,0)</f>
        <v>#N/A</v>
      </c>
    </row>
    <row r="502" spans="30:31" hidden="1">
      <c r="AD502" s="20" t="str">
        <f t="shared" si="29"/>
        <v/>
      </c>
      <c r="AE502" s="20" t="e">
        <f>+VLOOKUP(AD502,Catálogo!E:F,2,0)</f>
        <v>#N/A</v>
      </c>
    </row>
    <row r="503" spans="30:31" hidden="1">
      <c r="AD503" s="20" t="str">
        <f t="shared" si="29"/>
        <v/>
      </c>
      <c r="AE503" s="20" t="e">
        <f>+VLOOKUP(AD503,Catálogo!E:F,2,0)</f>
        <v>#N/A</v>
      </c>
    </row>
    <row r="504" spans="30:31" hidden="1">
      <c r="AD504" s="20" t="str">
        <f t="shared" si="29"/>
        <v/>
      </c>
      <c r="AE504" s="20" t="e">
        <f>+VLOOKUP(AD504,Catálogo!E:F,2,0)</f>
        <v>#N/A</v>
      </c>
    </row>
    <row r="505" spans="30:31" hidden="1">
      <c r="AD505" s="20" t="str">
        <f t="shared" si="29"/>
        <v/>
      </c>
      <c r="AE505" s="20" t="e">
        <f>+VLOOKUP(AD505,Catálogo!E:F,2,0)</f>
        <v>#N/A</v>
      </c>
    </row>
    <row r="506" spans="30:31" hidden="1">
      <c r="AD506" s="20" t="str">
        <f t="shared" si="29"/>
        <v/>
      </c>
      <c r="AE506" s="20" t="e">
        <f>+VLOOKUP(AD506,Catálogo!E:F,2,0)</f>
        <v>#N/A</v>
      </c>
    </row>
    <row r="507" spans="30:31" hidden="1">
      <c r="AD507" s="20" t="str">
        <f t="shared" si="29"/>
        <v/>
      </c>
      <c r="AE507" s="20" t="e">
        <f>+VLOOKUP(AD507,Catálogo!E:F,2,0)</f>
        <v>#N/A</v>
      </c>
    </row>
    <row r="508" spans="30:31" hidden="1">
      <c r="AD508" s="20" t="str">
        <f t="shared" si="29"/>
        <v/>
      </c>
      <c r="AE508" s="20" t="e">
        <f>+VLOOKUP(AD508,Catálogo!E:F,2,0)</f>
        <v>#N/A</v>
      </c>
    </row>
    <row r="509" spans="30:31" hidden="1">
      <c r="AD509" s="20" t="str">
        <f t="shared" si="29"/>
        <v/>
      </c>
      <c r="AE509" s="20" t="e">
        <f>+VLOOKUP(AD509,Catálogo!E:F,2,0)</f>
        <v>#N/A</v>
      </c>
    </row>
    <row r="510" spans="30:31" hidden="1">
      <c r="AD510" s="20" t="str">
        <f t="shared" si="29"/>
        <v/>
      </c>
      <c r="AE510" s="20" t="e">
        <f>+VLOOKUP(AD510,Catálogo!E:F,2,0)</f>
        <v>#N/A</v>
      </c>
    </row>
    <row r="511" spans="30:31" hidden="1">
      <c r="AD511" s="20" t="str">
        <f t="shared" si="29"/>
        <v/>
      </c>
      <c r="AE511" s="20" t="e">
        <f>+VLOOKUP(AD511,Catálogo!E:F,2,0)</f>
        <v>#N/A</v>
      </c>
    </row>
    <row r="512" spans="30:31" hidden="1">
      <c r="AD512" s="20" t="str">
        <f t="shared" si="29"/>
        <v/>
      </c>
      <c r="AE512" s="20" t="e">
        <f>+VLOOKUP(AD512,Catálogo!E:F,2,0)</f>
        <v>#N/A</v>
      </c>
    </row>
    <row r="513" spans="30:31" hidden="1">
      <c r="AD513" s="20" t="str">
        <f t="shared" si="29"/>
        <v/>
      </c>
      <c r="AE513" s="20" t="e">
        <f>+VLOOKUP(AD513,Catálogo!E:F,2,0)</f>
        <v>#N/A</v>
      </c>
    </row>
    <row r="514" spans="30:31" hidden="1">
      <c r="AD514" s="20" t="str">
        <f t="shared" si="29"/>
        <v/>
      </c>
      <c r="AE514" s="20" t="e">
        <f>+VLOOKUP(AD514,Catálogo!E:F,2,0)</f>
        <v>#N/A</v>
      </c>
    </row>
    <row r="515" spans="30:31" hidden="1">
      <c r="AD515" s="20" t="str">
        <f t="shared" si="29"/>
        <v/>
      </c>
      <c r="AE515" s="20" t="e">
        <f>+VLOOKUP(AD515,Catálogo!E:F,2,0)</f>
        <v>#N/A</v>
      </c>
    </row>
    <row r="516" spans="30:31" hidden="1">
      <c r="AD516" s="20" t="str">
        <f t="shared" si="29"/>
        <v/>
      </c>
      <c r="AE516" s="20" t="e">
        <f>+VLOOKUP(AD516,Catálogo!E:F,2,0)</f>
        <v>#N/A</v>
      </c>
    </row>
    <row r="517" spans="30:31" hidden="1">
      <c r="AD517" s="20" t="str">
        <f t="shared" si="29"/>
        <v/>
      </c>
      <c r="AE517" s="20" t="e">
        <f>+VLOOKUP(AD517,Catálogo!E:F,2,0)</f>
        <v>#N/A</v>
      </c>
    </row>
    <row r="518" spans="30:31" hidden="1">
      <c r="AD518" s="20" t="str">
        <f t="shared" si="29"/>
        <v/>
      </c>
      <c r="AE518" s="20" t="e">
        <f>+VLOOKUP(AD518,Catálogo!E:F,2,0)</f>
        <v>#N/A</v>
      </c>
    </row>
    <row r="519" spans="30:31" hidden="1">
      <c r="AD519" s="20" t="str">
        <f t="shared" si="29"/>
        <v/>
      </c>
      <c r="AE519" s="20" t="e">
        <f>+VLOOKUP(AD519,Catálogo!E:F,2,0)</f>
        <v>#N/A</v>
      </c>
    </row>
    <row r="520" spans="30:31" hidden="1">
      <c r="AD520" s="20" t="str">
        <f t="shared" si="29"/>
        <v/>
      </c>
      <c r="AE520" s="20" t="e">
        <f>+VLOOKUP(AD520,Catálogo!E:F,2,0)</f>
        <v>#N/A</v>
      </c>
    </row>
    <row r="521" spans="30:31" hidden="1">
      <c r="AD521" s="20" t="str">
        <f t="shared" si="29"/>
        <v/>
      </c>
      <c r="AE521" s="20" t="e">
        <f>+VLOOKUP(AD521,Catálogo!E:F,2,0)</f>
        <v>#N/A</v>
      </c>
    </row>
    <row r="522" spans="30:31" hidden="1">
      <c r="AD522" s="20" t="str">
        <f t="shared" si="29"/>
        <v/>
      </c>
      <c r="AE522" s="20" t="e">
        <f>+VLOOKUP(AD522,Catálogo!E:F,2,0)</f>
        <v>#N/A</v>
      </c>
    </row>
    <row r="523" spans="30:31" hidden="1">
      <c r="AD523" s="20" t="str">
        <f t="shared" ref="AD523:AD565" si="30">+CONCATENATE(A523,B523,D523)</f>
        <v/>
      </c>
      <c r="AE523" s="20" t="e">
        <f>+VLOOKUP(AD523,Catálogo!E:F,2,0)</f>
        <v>#N/A</v>
      </c>
    </row>
    <row r="524" spans="30:31" hidden="1">
      <c r="AD524" s="20" t="str">
        <f t="shared" si="30"/>
        <v/>
      </c>
      <c r="AE524" s="20" t="e">
        <f>+VLOOKUP(AD524,Catálogo!E:F,2,0)</f>
        <v>#N/A</v>
      </c>
    </row>
    <row r="525" spans="30:31" hidden="1">
      <c r="AD525" s="20" t="str">
        <f t="shared" si="30"/>
        <v/>
      </c>
      <c r="AE525" s="20" t="e">
        <f>+VLOOKUP(AD525,Catálogo!E:F,2,0)</f>
        <v>#N/A</v>
      </c>
    </row>
    <row r="526" spans="30:31" hidden="1">
      <c r="AD526" s="20" t="str">
        <f t="shared" si="30"/>
        <v/>
      </c>
      <c r="AE526" s="20" t="e">
        <f>+VLOOKUP(AD526,Catálogo!E:F,2,0)</f>
        <v>#N/A</v>
      </c>
    </row>
    <row r="527" spans="30:31" hidden="1">
      <c r="AD527" s="20" t="str">
        <f t="shared" si="30"/>
        <v/>
      </c>
      <c r="AE527" s="20" t="e">
        <f>+VLOOKUP(AD527,Catálogo!E:F,2,0)</f>
        <v>#N/A</v>
      </c>
    </row>
    <row r="528" spans="30:31" hidden="1">
      <c r="AD528" s="20" t="str">
        <f t="shared" si="30"/>
        <v/>
      </c>
      <c r="AE528" s="20" t="e">
        <f>+VLOOKUP(AD528,Catálogo!E:F,2,0)</f>
        <v>#N/A</v>
      </c>
    </row>
    <row r="529" spans="30:31" hidden="1">
      <c r="AD529" s="20" t="str">
        <f t="shared" si="30"/>
        <v/>
      </c>
      <c r="AE529" s="20" t="e">
        <f>+VLOOKUP(AD529,Catálogo!E:F,2,0)</f>
        <v>#N/A</v>
      </c>
    </row>
    <row r="530" spans="30:31" hidden="1">
      <c r="AD530" s="20" t="str">
        <f t="shared" si="30"/>
        <v/>
      </c>
      <c r="AE530" s="20" t="e">
        <f>+VLOOKUP(AD530,Catálogo!E:F,2,0)</f>
        <v>#N/A</v>
      </c>
    </row>
    <row r="531" spans="30:31" hidden="1">
      <c r="AD531" s="20" t="str">
        <f t="shared" si="30"/>
        <v/>
      </c>
      <c r="AE531" s="20" t="e">
        <f>+VLOOKUP(AD531,Catálogo!E:F,2,0)</f>
        <v>#N/A</v>
      </c>
    </row>
    <row r="532" spans="30:31" hidden="1">
      <c r="AD532" s="20" t="str">
        <f t="shared" si="30"/>
        <v/>
      </c>
      <c r="AE532" s="20" t="e">
        <f>+VLOOKUP(AD532,Catálogo!E:F,2,0)</f>
        <v>#N/A</v>
      </c>
    </row>
    <row r="533" spans="30:31" hidden="1">
      <c r="AD533" s="20" t="str">
        <f t="shared" si="30"/>
        <v/>
      </c>
      <c r="AE533" s="20" t="e">
        <f>+VLOOKUP(AD533,Catálogo!E:F,2,0)</f>
        <v>#N/A</v>
      </c>
    </row>
    <row r="534" spans="30:31" hidden="1">
      <c r="AD534" s="20" t="str">
        <f t="shared" si="30"/>
        <v/>
      </c>
      <c r="AE534" s="20" t="e">
        <f>+VLOOKUP(AD534,Catálogo!E:F,2,0)</f>
        <v>#N/A</v>
      </c>
    </row>
    <row r="535" spans="30:31" hidden="1">
      <c r="AD535" s="20" t="str">
        <f t="shared" si="30"/>
        <v/>
      </c>
      <c r="AE535" s="20" t="e">
        <f>+VLOOKUP(AD535,Catálogo!E:F,2,0)</f>
        <v>#N/A</v>
      </c>
    </row>
    <row r="536" spans="30:31" hidden="1">
      <c r="AD536" s="20" t="str">
        <f t="shared" si="30"/>
        <v/>
      </c>
      <c r="AE536" s="20" t="e">
        <f>+VLOOKUP(AD536,Catálogo!E:F,2,0)</f>
        <v>#N/A</v>
      </c>
    </row>
    <row r="537" spans="30:31" hidden="1">
      <c r="AD537" s="20" t="str">
        <f t="shared" si="30"/>
        <v/>
      </c>
      <c r="AE537" s="20" t="e">
        <f>+VLOOKUP(AD537,Catálogo!E:F,2,0)</f>
        <v>#N/A</v>
      </c>
    </row>
    <row r="538" spans="30:31" hidden="1">
      <c r="AD538" s="20" t="str">
        <f t="shared" si="30"/>
        <v/>
      </c>
      <c r="AE538" s="20" t="e">
        <f>+VLOOKUP(AD538,Catálogo!E:F,2,0)</f>
        <v>#N/A</v>
      </c>
    </row>
    <row r="539" spans="30:31" hidden="1">
      <c r="AD539" s="20" t="str">
        <f t="shared" si="30"/>
        <v/>
      </c>
      <c r="AE539" s="20" t="e">
        <f>+VLOOKUP(AD539,Catálogo!E:F,2,0)</f>
        <v>#N/A</v>
      </c>
    </row>
    <row r="540" spans="30:31" hidden="1">
      <c r="AD540" s="20" t="str">
        <f t="shared" si="30"/>
        <v/>
      </c>
      <c r="AE540" s="20" t="e">
        <f>+VLOOKUP(AD540,Catálogo!E:F,2,0)</f>
        <v>#N/A</v>
      </c>
    </row>
    <row r="541" spans="30:31" hidden="1">
      <c r="AD541" s="20" t="str">
        <f t="shared" si="30"/>
        <v/>
      </c>
      <c r="AE541" s="20" t="e">
        <f>+VLOOKUP(AD541,Catálogo!E:F,2,0)</f>
        <v>#N/A</v>
      </c>
    </row>
    <row r="542" spans="30:31" hidden="1">
      <c r="AD542" s="20" t="str">
        <f t="shared" si="30"/>
        <v/>
      </c>
      <c r="AE542" s="20" t="e">
        <f>+VLOOKUP(AD542,Catálogo!E:F,2,0)</f>
        <v>#N/A</v>
      </c>
    </row>
    <row r="543" spans="30:31" hidden="1">
      <c r="AD543" s="20" t="str">
        <f t="shared" si="30"/>
        <v/>
      </c>
      <c r="AE543" s="20" t="e">
        <f>+VLOOKUP(AD543,Catálogo!E:F,2,0)</f>
        <v>#N/A</v>
      </c>
    </row>
    <row r="544" spans="30:31" hidden="1">
      <c r="AD544" s="20" t="str">
        <f t="shared" si="30"/>
        <v/>
      </c>
      <c r="AE544" s="20" t="e">
        <f>+VLOOKUP(AD544,Catálogo!E:F,2,0)</f>
        <v>#N/A</v>
      </c>
    </row>
    <row r="545" spans="30:31" hidden="1">
      <c r="AD545" s="20" t="str">
        <f t="shared" si="30"/>
        <v/>
      </c>
      <c r="AE545" s="20" t="e">
        <f>+VLOOKUP(AD545,Catálogo!E:F,2,0)</f>
        <v>#N/A</v>
      </c>
    </row>
    <row r="546" spans="30:31" hidden="1">
      <c r="AD546" s="20" t="str">
        <f t="shared" si="30"/>
        <v/>
      </c>
      <c r="AE546" s="20" t="e">
        <f>+VLOOKUP(AD546,Catálogo!E:F,2,0)</f>
        <v>#N/A</v>
      </c>
    </row>
    <row r="547" spans="30:31" hidden="1">
      <c r="AD547" s="20" t="str">
        <f t="shared" si="30"/>
        <v/>
      </c>
      <c r="AE547" s="20" t="e">
        <f>+VLOOKUP(AD547,Catálogo!E:F,2,0)</f>
        <v>#N/A</v>
      </c>
    </row>
    <row r="548" spans="30:31" hidden="1">
      <c r="AD548" s="20" t="str">
        <f t="shared" si="30"/>
        <v/>
      </c>
      <c r="AE548" s="20" t="e">
        <f>+VLOOKUP(AD548,Catálogo!E:F,2,0)</f>
        <v>#N/A</v>
      </c>
    </row>
    <row r="549" spans="30:31" hidden="1">
      <c r="AD549" s="20" t="str">
        <f t="shared" si="30"/>
        <v/>
      </c>
      <c r="AE549" s="20" t="e">
        <f>+VLOOKUP(AD549,Catálogo!E:F,2,0)</f>
        <v>#N/A</v>
      </c>
    </row>
    <row r="550" spans="30:31" hidden="1">
      <c r="AD550" s="20" t="str">
        <f t="shared" si="30"/>
        <v/>
      </c>
      <c r="AE550" s="20" t="e">
        <f>+VLOOKUP(AD550,Catálogo!E:F,2,0)</f>
        <v>#N/A</v>
      </c>
    </row>
    <row r="551" spans="30:31" hidden="1">
      <c r="AD551" s="20" t="str">
        <f t="shared" si="30"/>
        <v/>
      </c>
      <c r="AE551" s="20" t="e">
        <f>+VLOOKUP(AD551,Catálogo!E:F,2,0)</f>
        <v>#N/A</v>
      </c>
    </row>
    <row r="552" spans="30:31" hidden="1">
      <c r="AD552" s="20" t="str">
        <f t="shared" si="30"/>
        <v/>
      </c>
      <c r="AE552" s="20" t="e">
        <f>+VLOOKUP(AD552,Catálogo!E:F,2,0)</f>
        <v>#N/A</v>
      </c>
    </row>
    <row r="553" spans="30:31" hidden="1">
      <c r="AD553" s="20" t="str">
        <f t="shared" si="30"/>
        <v/>
      </c>
      <c r="AE553" s="20" t="e">
        <f>+VLOOKUP(AD553,Catálogo!E:F,2,0)</f>
        <v>#N/A</v>
      </c>
    </row>
    <row r="554" spans="30:31" hidden="1">
      <c r="AD554" s="20" t="str">
        <f t="shared" si="30"/>
        <v/>
      </c>
      <c r="AE554" s="20" t="e">
        <f>+VLOOKUP(AD554,Catálogo!E:F,2,0)</f>
        <v>#N/A</v>
      </c>
    </row>
    <row r="555" spans="30:31" hidden="1">
      <c r="AD555" s="20" t="str">
        <f t="shared" si="30"/>
        <v/>
      </c>
      <c r="AE555" s="20" t="e">
        <f>+VLOOKUP(AD555,Catálogo!E:F,2,0)</f>
        <v>#N/A</v>
      </c>
    </row>
    <row r="556" spans="30:31" hidden="1">
      <c r="AD556" s="20" t="str">
        <f t="shared" si="30"/>
        <v/>
      </c>
      <c r="AE556" s="20" t="e">
        <f>+VLOOKUP(AD556,Catálogo!E:F,2,0)</f>
        <v>#N/A</v>
      </c>
    </row>
    <row r="557" spans="30:31" hidden="1">
      <c r="AD557" s="20" t="str">
        <f t="shared" si="30"/>
        <v/>
      </c>
      <c r="AE557" s="20" t="e">
        <f>+VLOOKUP(AD557,Catálogo!E:F,2,0)</f>
        <v>#N/A</v>
      </c>
    </row>
    <row r="558" spans="30:31" hidden="1">
      <c r="AD558" s="20" t="str">
        <f t="shared" si="30"/>
        <v/>
      </c>
      <c r="AE558" s="20" t="e">
        <f>+VLOOKUP(AD558,Catálogo!E:F,2,0)</f>
        <v>#N/A</v>
      </c>
    </row>
    <row r="559" spans="30:31" hidden="1">
      <c r="AD559" s="20" t="str">
        <f t="shared" si="30"/>
        <v/>
      </c>
      <c r="AE559" s="20" t="e">
        <f>+VLOOKUP(AD559,Catálogo!E:F,2,0)</f>
        <v>#N/A</v>
      </c>
    </row>
    <row r="560" spans="30:31" hidden="1">
      <c r="AD560" s="20" t="str">
        <f t="shared" si="30"/>
        <v/>
      </c>
      <c r="AE560" s="20" t="e">
        <f>+VLOOKUP(AD560,Catálogo!E:F,2,0)</f>
        <v>#N/A</v>
      </c>
    </row>
    <row r="561" spans="30:31" hidden="1">
      <c r="AD561" s="20" t="str">
        <f t="shared" si="30"/>
        <v/>
      </c>
      <c r="AE561" s="20" t="e">
        <f>+VLOOKUP(AD561,Catálogo!E:F,2,0)</f>
        <v>#N/A</v>
      </c>
    </row>
    <row r="562" spans="30:31" hidden="1">
      <c r="AD562" s="20" t="str">
        <f t="shared" si="30"/>
        <v/>
      </c>
      <c r="AE562" s="20" t="e">
        <f>+VLOOKUP(AD562,Catálogo!E:F,2,0)</f>
        <v>#N/A</v>
      </c>
    </row>
    <row r="563" spans="30:31" hidden="1">
      <c r="AD563" s="20" t="str">
        <f t="shared" si="30"/>
        <v/>
      </c>
      <c r="AE563" s="20" t="e">
        <f>+VLOOKUP(AD563,Catálogo!E:F,2,0)</f>
        <v>#N/A</v>
      </c>
    </row>
    <row r="564" spans="30:31" hidden="1">
      <c r="AD564" s="20" t="str">
        <f t="shared" si="30"/>
        <v/>
      </c>
      <c r="AE564" s="20" t="e">
        <f>+VLOOKUP(AD564,Catálogo!E:F,2,0)</f>
        <v>#N/A</v>
      </c>
    </row>
    <row r="565" spans="30:31" hidden="1">
      <c r="AD565" s="20" t="str">
        <f t="shared" si="30"/>
        <v/>
      </c>
      <c r="AE565" s="20" t="e">
        <f>+VLOOKUP(AD565,Catálogo!E:F,2,0)</f>
        <v>#N/A</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392A-1C4B-4C87-B7A4-DAA1A629FDBF}">
  <sheetPr codeName="Hoja1">
    <tabColor theme="4" tint="0.79998168889431442"/>
  </sheetPr>
  <dimension ref="A2:I36"/>
  <sheetViews>
    <sheetView showGridLines="0" topLeftCell="A13" zoomScale="115" zoomScaleNormal="115" workbookViewId="0">
      <selection activeCell="A14" sqref="A14"/>
    </sheetView>
  </sheetViews>
  <sheetFormatPr baseColWidth="10" defaultRowHeight="13.5" outlineLevelRow="1"/>
  <cols>
    <col min="1" max="1" width="61.85546875" customWidth="1"/>
    <col min="2" max="3" width="14.85546875" customWidth="1"/>
    <col min="4" max="4" width="14.85546875" style="180" customWidth="1"/>
    <col min="5" max="5" width="17.85546875" style="180" customWidth="1"/>
    <col min="6" max="7" width="14.85546875" style="180" customWidth="1"/>
    <col min="8" max="11" width="14.85546875" customWidth="1"/>
  </cols>
  <sheetData>
    <row r="2" spans="1:9" ht="15">
      <c r="A2" s="47"/>
      <c r="B2" s="47"/>
      <c r="C2" s="47"/>
      <c r="D2" s="227"/>
      <c r="E2" s="227"/>
      <c r="F2" s="227"/>
      <c r="G2" s="227"/>
      <c r="H2" s="47"/>
      <c r="I2" s="47"/>
    </row>
    <row r="3" spans="1:9" ht="15">
      <c r="A3" s="47"/>
      <c r="B3" s="47"/>
      <c r="C3" s="47"/>
      <c r="D3" s="227"/>
      <c r="E3" s="227"/>
      <c r="F3" s="227"/>
      <c r="G3" s="227"/>
      <c r="H3" s="47"/>
      <c r="I3" s="47"/>
    </row>
    <row r="4" spans="1:9" ht="15">
      <c r="A4" s="47"/>
      <c r="B4" s="47"/>
      <c r="C4" s="47"/>
      <c r="D4" s="227"/>
      <c r="E4" s="227"/>
      <c r="F4" s="227"/>
      <c r="G4" s="227"/>
      <c r="H4" s="47"/>
      <c r="I4" s="47"/>
    </row>
    <row r="5" spans="1:9" ht="15">
      <c r="A5" s="47"/>
      <c r="B5" s="47"/>
      <c r="C5" s="47"/>
      <c r="D5" s="227"/>
      <c r="E5" s="227"/>
      <c r="F5" s="227"/>
      <c r="G5" s="227"/>
      <c r="H5" s="47"/>
      <c r="I5" s="47"/>
    </row>
    <row r="6" spans="1:9" ht="15">
      <c r="A6" s="47"/>
      <c r="B6" s="47"/>
      <c r="C6" s="47"/>
      <c r="D6" s="227"/>
      <c r="E6" s="227"/>
      <c r="F6" s="227"/>
      <c r="G6" s="227"/>
      <c r="H6" s="47"/>
      <c r="I6" s="47"/>
    </row>
    <row r="7" spans="1:9" ht="15">
      <c r="A7" s="47"/>
      <c r="B7" s="47"/>
      <c r="C7" s="47"/>
      <c r="D7" s="227"/>
      <c r="E7" s="227"/>
      <c r="F7" s="227"/>
      <c r="G7" s="227"/>
      <c r="H7" s="47"/>
      <c r="I7" s="47"/>
    </row>
    <row r="8" spans="1:9" ht="15">
      <c r="A8" s="47"/>
      <c r="B8" s="47"/>
      <c r="C8" s="47"/>
      <c r="D8" s="248">
        <f>SUM(D12:D35)</f>
        <v>0</v>
      </c>
      <c r="E8" s="248">
        <f>SUM(E12:E35)</f>
        <v>0</v>
      </c>
      <c r="F8" s="248">
        <f>SUM(F12:F31)</f>
        <v>1</v>
      </c>
      <c r="G8" s="248">
        <f>SUM(G12:G31)</f>
        <v>1</v>
      </c>
      <c r="H8" s="249" t="s">
        <v>315</v>
      </c>
      <c r="I8" s="47"/>
    </row>
    <row r="9" spans="1:9" ht="15">
      <c r="A9" s="47"/>
      <c r="B9" s="47"/>
      <c r="C9" s="47"/>
      <c r="D9" s="227"/>
      <c r="E9" s="227"/>
      <c r="F9" s="227"/>
      <c r="G9" s="227"/>
      <c r="H9" s="47"/>
      <c r="I9" s="47"/>
    </row>
    <row r="10" spans="1:9" ht="15" outlineLevel="1">
      <c r="A10" s="47"/>
      <c r="B10" s="47"/>
      <c r="C10" s="47"/>
      <c r="D10" s="227"/>
      <c r="E10" s="227"/>
      <c r="F10" s="227"/>
      <c r="G10" s="227"/>
      <c r="H10" s="47"/>
      <c r="I10" s="47"/>
    </row>
    <row r="11" spans="1:9" ht="17.25" outlineLevel="1" thickBot="1">
      <c r="A11" s="48" t="s">
        <v>135</v>
      </c>
      <c r="B11" s="48" t="s">
        <v>136</v>
      </c>
      <c r="C11" s="48" t="s">
        <v>137</v>
      </c>
      <c r="D11" s="228" t="s">
        <v>553</v>
      </c>
      <c r="E11" s="247">
        <v>2024</v>
      </c>
      <c r="F11" s="228" t="s">
        <v>292</v>
      </c>
      <c r="G11" s="247">
        <v>2023</v>
      </c>
      <c r="H11" s="47"/>
      <c r="I11" s="47"/>
    </row>
    <row r="12" spans="1:9" ht="15" outlineLevel="1">
      <c r="A12" s="49" t="s">
        <v>121</v>
      </c>
      <c r="B12" s="47" t="s">
        <v>119</v>
      </c>
      <c r="C12" s="47" t="s">
        <v>138</v>
      </c>
      <c r="D12" s="227">
        <f>+ROUND(E12,0)</f>
        <v>42719</v>
      </c>
      <c r="E12" s="227">
        <f>+SUMIF(BalanzaActual!$AH:$AH,Validación!$A12,BalanzaActual!$Z:$Z)</f>
        <v>42719</v>
      </c>
      <c r="F12" s="227">
        <f>+ROUND(G12,0)</f>
        <v>46651</v>
      </c>
      <c r="G12" s="227">
        <f>+SUMIF(BalanzaAnterior!$AE:$AE,Validación!$A12,BalanzaAnterior!$Y:$Y)</f>
        <v>46651</v>
      </c>
      <c r="H12" s="47"/>
      <c r="I12" s="47"/>
    </row>
    <row r="13" spans="1:9" ht="15" outlineLevel="1">
      <c r="A13" s="49" t="s">
        <v>122</v>
      </c>
      <c r="B13" s="47" t="s">
        <v>119</v>
      </c>
      <c r="C13" s="47" t="s">
        <v>138</v>
      </c>
      <c r="D13" s="227">
        <f t="shared" ref="D13:D31" si="0">+ROUND(E13,0)</f>
        <v>25042</v>
      </c>
      <c r="E13" s="227">
        <f>+SUMIF(BalanzaActual!$AH:$AH,Validación!$A13,BalanzaActual!$Z:$Z)</f>
        <v>25042</v>
      </c>
      <c r="F13" s="227">
        <f t="shared" ref="F13:F31" si="1">+ROUND(G13,0)</f>
        <v>11989</v>
      </c>
      <c r="G13" s="227">
        <f>+SUMIF(BalanzaAnterior!$AE:$AE,Validación!$A13,BalanzaAnterior!$Y:$Y)</f>
        <v>11989</v>
      </c>
      <c r="H13" s="47"/>
      <c r="I13" s="47"/>
    </row>
    <row r="14" spans="1:9" ht="15" outlineLevel="1">
      <c r="A14" s="49" t="s">
        <v>709</v>
      </c>
      <c r="B14" s="47" t="s">
        <v>119</v>
      </c>
      <c r="C14" s="47" t="s">
        <v>139</v>
      </c>
      <c r="D14" s="227">
        <f t="shared" si="0"/>
        <v>1085783</v>
      </c>
      <c r="E14" s="227">
        <f>+SUMIF(BalanzaActual!$AH:$AH,Validación!$A14,BalanzaActual!$Z:$Z)</f>
        <v>1085783</v>
      </c>
      <c r="F14" s="227">
        <f t="shared" si="1"/>
        <v>773964</v>
      </c>
      <c r="G14" s="227">
        <f>+SUMIF(BalanzaAnterior!$AE:$AE,Validación!$A14,BalanzaAnterior!$Y:$Y)</f>
        <v>773964</v>
      </c>
      <c r="H14" s="47"/>
      <c r="I14" s="47"/>
    </row>
    <row r="15" spans="1:9" ht="15" outlineLevel="1">
      <c r="A15" s="49" t="s">
        <v>603</v>
      </c>
      <c r="B15" s="47" t="s">
        <v>119</v>
      </c>
      <c r="C15" s="47" t="s">
        <v>139</v>
      </c>
      <c r="D15" s="227">
        <f>+ROUND(E15,0)</f>
        <v>364</v>
      </c>
      <c r="E15" s="227">
        <f>+SUMIF(BalanzaActual!$AH:$AH,Validación!$A15,BalanzaActual!$Z:$Z)</f>
        <v>364</v>
      </c>
      <c r="F15" s="227">
        <f t="shared" si="1"/>
        <v>43</v>
      </c>
      <c r="G15" s="227">
        <f>+SUMIF(BalanzaAnterior!$AE:$AE,Validación!$A15,BalanzaAnterior!$Y:$Y)</f>
        <v>43</v>
      </c>
      <c r="H15" s="47"/>
      <c r="I15" s="47"/>
    </row>
    <row r="16" spans="1:9" ht="15" outlineLevel="1">
      <c r="A16" s="49" t="s">
        <v>123</v>
      </c>
      <c r="B16" s="47" t="s">
        <v>119</v>
      </c>
      <c r="C16" s="47" t="s">
        <v>139</v>
      </c>
      <c r="D16" s="227">
        <f t="shared" si="0"/>
        <v>291</v>
      </c>
      <c r="E16" s="227">
        <f>+SUMIF(BalanzaActual!$AH:$AH,Validación!$A16,BalanzaActual!$Z:$Z)</f>
        <v>291</v>
      </c>
      <c r="F16" s="227">
        <f t="shared" si="1"/>
        <v>16</v>
      </c>
      <c r="G16" s="227">
        <f>+SUMIF(BalanzaAnterior!$AE:$AE,Validación!$A16,BalanzaAnterior!$Y:$Y)</f>
        <v>16</v>
      </c>
      <c r="H16" s="47"/>
      <c r="I16" s="47"/>
    </row>
    <row r="17" spans="1:9" ht="15" outlineLevel="1">
      <c r="A17" s="49" t="s">
        <v>701</v>
      </c>
      <c r="B17" s="47" t="s">
        <v>120</v>
      </c>
      <c r="C17" s="47" t="s">
        <v>138</v>
      </c>
      <c r="D17" s="227">
        <f t="shared" si="0"/>
        <v>-37961</v>
      </c>
      <c r="E17" s="227">
        <f>+SUMIF(BalanzaActual!$AH:$AH,Validación!$A17,BalanzaActual!$Z:$Z)</f>
        <v>-37961</v>
      </c>
      <c r="F17" s="227">
        <f t="shared" si="1"/>
        <v>-13081</v>
      </c>
      <c r="G17" s="227">
        <f>+SUMIF(BalanzaAnterior!$AE:$AE,Validación!$A17,BalanzaAnterior!$Y:$Y)</f>
        <v>-13081</v>
      </c>
      <c r="H17" s="47"/>
      <c r="I17" s="47"/>
    </row>
    <row r="18" spans="1:9" ht="15" outlineLevel="1">
      <c r="A18" s="49" t="s">
        <v>125</v>
      </c>
      <c r="B18" s="47" t="s">
        <v>120</v>
      </c>
      <c r="C18" s="47" t="s">
        <v>138</v>
      </c>
      <c r="D18" s="227">
        <f t="shared" si="0"/>
        <v>0</v>
      </c>
      <c r="E18" s="227">
        <f>+SUMIF(BalanzaActual!$AH:$AH,Validación!$A18,BalanzaActual!$Z:$Z)</f>
        <v>0</v>
      </c>
      <c r="F18" s="227">
        <f t="shared" si="1"/>
        <v>0</v>
      </c>
      <c r="G18" s="227">
        <f>+SUMIF(BalanzaAnterior!$AE:$AE,Validación!$A18,BalanzaAnterior!$Y:$Y)</f>
        <v>0</v>
      </c>
      <c r="H18" s="47"/>
      <c r="I18" s="47"/>
    </row>
    <row r="19" spans="1:9" ht="15" outlineLevel="1">
      <c r="A19" s="49" t="s">
        <v>126</v>
      </c>
      <c r="B19" s="47" t="s">
        <v>120</v>
      </c>
      <c r="C19" s="47" t="s">
        <v>138</v>
      </c>
      <c r="D19" s="227">
        <f t="shared" si="0"/>
        <v>-460</v>
      </c>
      <c r="E19" s="227">
        <f>+SUMIF(BalanzaActual!$AH:$AH,Validación!$A19,BalanzaActual!$Z:$Z)</f>
        <v>-460</v>
      </c>
      <c r="F19" s="227">
        <f t="shared" si="1"/>
        <v>-390</v>
      </c>
      <c r="G19" s="227">
        <f>+SUMIF(BalanzaAnterior!$AE:$AE,Validación!$A19,BalanzaAnterior!$Y:$Y)</f>
        <v>-390</v>
      </c>
      <c r="H19" s="47"/>
      <c r="I19" s="47"/>
    </row>
    <row r="20" spans="1:9" ht="15" outlineLevel="1">
      <c r="A20" s="50" t="s">
        <v>129</v>
      </c>
      <c r="B20" s="47" t="s">
        <v>120</v>
      </c>
      <c r="C20" s="47" t="s">
        <v>139</v>
      </c>
      <c r="D20" s="227">
        <f t="shared" si="0"/>
        <v>-407950</v>
      </c>
      <c r="E20" s="227">
        <f>+SUMIF(BalanzaActual!$AH:$AH,Validación!$A20,BalanzaActual!$Z:$Z)</f>
        <v>-407950</v>
      </c>
      <c r="F20" s="227">
        <f t="shared" si="1"/>
        <v>-71045</v>
      </c>
      <c r="G20" s="227">
        <f>+SUMIF(BalanzaAnterior!$AE:$AE,Validación!$A20,BalanzaAnterior!$Y:$Y)</f>
        <v>-71045</v>
      </c>
      <c r="H20" s="47"/>
      <c r="I20" s="47"/>
    </row>
    <row r="21" spans="1:9" ht="15" outlineLevel="1">
      <c r="A21" s="50" t="s">
        <v>128</v>
      </c>
      <c r="B21" s="47" t="s">
        <v>120</v>
      </c>
      <c r="C21" s="47" t="s">
        <v>139</v>
      </c>
      <c r="D21" s="227">
        <f t="shared" si="0"/>
        <v>-330000</v>
      </c>
      <c r="E21" s="227">
        <f>+SUMIF(BalanzaActual!$AH:$AH,Validación!$A21,BalanzaActual!$Z:$Z)</f>
        <v>-330000</v>
      </c>
      <c r="F21" s="227">
        <f t="shared" si="1"/>
        <v>-271000</v>
      </c>
      <c r="G21" s="227">
        <f>+SUMIF(BalanzaAnterior!$AE:$AE,Validación!$A21,BalanzaAnterior!$Y:$Y)</f>
        <v>-271000</v>
      </c>
      <c r="H21" s="47"/>
      <c r="I21" s="47"/>
    </row>
    <row r="22" spans="1:9" ht="15" outlineLevel="1">
      <c r="A22" s="50" t="s">
        <v>127</v>
      </c>
      <c r="B22" s="47" t="s">
        <v>120</v>
      </c>
      <c r="C22" s="47" t="s">
        <v>139</v>
      </c>
      <c r="D22" s="227">
        <f t="shared" si="0"/>
        <v>-125867</v>
      </c>
      <c r="E22" s="227">
        <f>+SUMIF(BalanzaActual!$AH:$AH,Validación!$A22,BalanzaActual!$Z:$Z)</f>
        <v>-125867</v>
      </c>
      <c r="F22" s="227">
        <f t="shared" si="1"/>
        <v>-196719</v>
      </c>
      <c r="G22" s="227">
        <f>+SUMIF(BalanzaAnterior!$AE:$AE,Validación!$A22,BalanzaAnterior!$Y:$Y)</f>
        <v>-196719</v>
      </c>
      <c r="H22" s="47"/>
      <c r="I22" s="47"/>
    </row>
    <row r="23" spans="1:9" ht="15" outlineLevel="1">
      <c r="A23" s="49" t="s">
        <v>130</v>
      </c>
      <c r="B23" s="47" t="s">
        <v>140</v>
      </c>
      <c r="C23" s="47"/>
      <c r="D23" s="227">
        <f t="shared" si="0"/>
        <v>-272972</v>
      </c>
      <c r="E23" s="227">
        <f>+SUMIF(BalanzaActual!$AH:$AH,Validación!$A23,BalanzaActual!$Z:$Z)</f>
        <v>-272972</v>
      </c>
      <c r="F23" s="227">
        <f t="shared" si="1"/>
        <v>-272972</v>
      </c>
      <c r="G23" s="227">
        <f>+SUMIF(BalanzaAnterior!$AE:$AE,Validación!$A23,BalanzaAnterior!$Y:$Y)</f>
        <v>-272972</v>
      </c>
      <c r="H23" s="47"/>
      <c r="I23" s="47"/>
    </row>
    <row r="24" spans="1:9" ht="15" outlineLevel="1">
      <c r="A24" s="49" t="s">
        <v>141</v>
      </c>
      <c r="B24" s="47" t="s">
        <v>140</v>
      </c>
      <c r="C24" s="47"/>
      <c r="D24" s="227">
        <f t="shared" si="0"/>
        <v>0</v>
      </c>
      <c r="E24" s="227">
        <f>+SUMIF(BalanzaActual!$AH:$AH,Validación!$A24,BalanzaActual!$Z:$Z)</f>
        <v>0</v>
      </c>
      <c r="F24" s="227">
        <f t="shared" si="1"/>
        <v>0</v>
      </c>
      <c r="G24" s="227">
        <f>+SUMIF(BalanzaAnterior!$AE:$AE,Validación!$A24,BalanzaAnterior!$Y:$Y)</f>
        <v>0</v>
      </c>
      <c r="H24" s="47"/>
      <c r="I24" s="47"/>
    </row>
    <row r="25" spans="1:9" ht="15" outlineLevel="1">
      <c r="A25" s="49" t="s">
        <v>131</v>
      </c>
      <c r="B25" s="47" t="s">
        <v>140</v>
      </c>
      <c r="C25" s="47"/>
      <c r="D25" s="227">
        <f t="shared" si="0"/>
        <v>-7456</v>
      </c>
      <c r="E25" s="227">
        <f>+SUMIF(BalanzaActual!$AH:$AH,Validación!$A25,BalanzaActual!$Z:$Z)</f>
        <v>-7456</v>
      </c>
      <c r="F25" s="227">
        <f t="shared" si="1"/>
        <v>394</v>
      </c>
      <c r="G25" s="227">
        <f>+SUMIF(BalanzaAnterior!$AE:$AE,Validación!$A25,BalanzaAnterior!$Y:$Y)</f>
        <v>394</v>
      </c>
      <c r="H25" s="47"/>
      <c r="I25" s="47"/>
    </row>
    <row r="26" spans="1:9" ht="15" outlineLevel="1">
      <c r="A26" s="51" t="s">
        <v>142</v>
      </c>
      <c r="B26" s="47" t="s">
        <v>286</v>
      </c>
      <c r="C26" s="47"/>
      <c r="D26" s="227">
        <f t="shared" si="0"/>
        <v>0</v>
      </c>
      <c r="E26" s="227">
        <f>+SUMIF(BalanzaActual!$AH:$AH,Validación!$A26,BalanzaActual!$Z:$Z)</f>
        <v>0</v>
      </c>
      <c r="F26" s="227">
        <f t="shared" si="1"/>
        <v>0</v>
      </c>
      <c r="G26" s="227">
        <f>+SUMIF(BalanzaAnterior!$AE:$AE,Validación!$A26,BalanzaAnterior!$Y:$Y)</f>
        <v>0</v>
      </c>
      <c r="H26" s="47"/>
      <c r="I26" s="47"/>
    </row>
    <row r="27" spans="1:9" ht="15" outlineLevel="1">
      <c r="A27" s="51" t="s">
        <v>288</v>
      </c>
      <c r="B27" s="47" t="s">
        <v>286</v>
      </c>
      <c r="C27" s="47"/>
      <c r="D27" s="227">
        <f t="shared" si="0"/>
        <v>36492</v>
      </c>
      <c r="E27" s="227">
        <f>+SUMIF(BalanzaActual!$AH:$AH,Validación!$A27,BalanzaActual!$Z:$Z)</f>
        <v>36492</v>
      </c>
      <c r="F27" s="227">
        <f t="shared" si="1"/>
        <v>59</v>
      </c>
      <c r="G27" s="227">
        <f>+SUMIF(BalanzaAnterior!$AE:$AE,Validación!$A27,BalanzaAnterior!$Y:$Y)</f>
        <v>59</v>
      </c>
      <c r="H27" s="47"/>
      <c r="I27" s="47"/>
    </row>
    <row r="28" spans="1:9" ht="15" outlineLevel="1">
      <c r="A28" s="51" t="s">
        <v>291</v>
      </c>
      <c r="B28" s="47" t="s">
        <v>286</v>
      </c>
      <c r="C28" s="47"/>
      <c r="D28" s="227">
        <f t="shared" si="0"/>
        <v>21</v>
      </c>
      <c r="E28" s="227">
        <f>+SUMIF(BalanzaActual!$AH:$AH,Validación!$A28,BalanzaActual!$Z:$Z)</f>
        <v>21</v>
      </c>
      <c r="F28" s="227">
        <f t="shared" si="1"/>
        <v>11</v>
      </c>
      <c r="G28" s="227">
        <f>+SUMIF(BalanzaAnterior!$AE:$AE,Validación!$A28,BalanzaAnterior!$Y:$Y)</f>
        <v>11</v>
      </c>
      <c r="H28" s="47"/>
      <c r="I28" s="47"/>
    </row>
    <row r="29" spans="1:9" ht="15" outlineLevel="1">
      <c r="A29" s="51" t="s">
        <v>132</v>
      </c>
      <c r="B29" s="47" t="s">
        <v>286</v>
      </c>
      <c r="C29" s="47"/>
      <c r="D29" s="227">
        <f t="shared" si="0"/>
        <v>-8050</v>
      </c>
      <c r="E29" s="227">
        <f>+SUMIF(BalanzaActual!$AH:$AH,Validación!$A29,BalanzaActual!$Z:$Z)</f>
        <v>-8050</v>
      </c>
      <c r="F29" s="227">
        <f t="shared" si="1"/>
        <v>-2456</v>
      </c>
      <c r="G29" s="227">
        <f>+SUMIF(BalanzaAnterior!$AE:$AE,Validación!$A29,BalanzaAnterior!$Y:$Y)</f>
        <v>-2456</v>
      </c>
      <c r="H29" s="47"/>
      <c r="I29" s="47"/>
    </row>
    <row r="30" spans="1:9" ht="15" outlineLevel="1">
      <c r="A30" s="51" t="s">
        <v>133</v>
      </c>
      <c r="B30" s="47" t="s">
        <v>286</v>
      </c>
      <c r="C30" s="47"/>
      <c r="D30" s="227">
        <f t="shared" ref="D30" si="2">+ROUND(E30,0)</f>
        <v>0</v>
      </c>
      <c r="E30" s="227">
        <f>+SUMIF(BalanzaActual!$AH:$AH,Validación!$A30,BalanzaActual!$Z:$Z)</f>
        <v>0</v>
      </c>
      <c r="F30" s="227">
        <f t="shared" ref="F30" si="3">+ROUND(G30,0)</f>
        <v>-5463</v>
      </c>
      <c r="G30" s="227">
        <f>+SUMIF(BalanzaAnterior!$AE:$AE,Validación!$A30,BalanzaAnterior!$Y:$Y)</f>
        <v>-5463</v>
      </c>
      <c r="H30" s="47"/>
      <c r="I30" s="47"/>
    </row>
    <row r="31" spans="1:9" ht="15" outlineLevel="1">
      <c r="A31" s="51" t="s">
        <v>597</v>
      </c>
      <c r="B31" s="47" t="s">
        <v>286</v>
      </c>
      <c r="C31" s="47"/>
      <c r="D31" s="227">
        <f t="shared" si="0"/>
        <v>4</v>
      </c>
      <c r="E31" s="227">
        <f>+SUMIF(BalanzaActual!$AH:$AH,Validación!$A31,BalanzaActual!$Z:$Z)</f>
        <v>4</v>
      </c>
      <c r="F31" s="227">
        <f t="shared" si="1"/>
        <v>0</v>
      </c>
      <c r="G31" s="227">
        <f>+SUMIF(BalanzaAnterior!$AE:$AE,Validación!$A31,BalanzaAnterior!$Y:$Y)</f>
        <v>0</v>
      </c>
      <c r="H31" s="47"/>
      <c r="I31" s="47"/>
    </row>
    <row r="32" spans="1:9" ht="15" outlineLevel="1">
      <c r="A32" s="47" t="s">
        <v>299</v>
      </c>
      <c r="B32" s="47"/>
      <c r="C32" s="47"/>
      <c r="D32" s="227"/>
      <c r="E32" s="227"/>
      <c r="F32" s="227"/>
      <c r="G32" s="227"/>
      <c r="H32" s="47"/>
      <c r="I32" s="47"/>
    </row>
    <row r="33" spans="1:9" ht="15">
      <c r="A33" s="47"/>
      <c r="B33" s="47"/>
      <c r="C33" s="47"/>
      <c r="D33" s="227"/>
      <c r="E33" s="227"/>
      <c r="F33" s="227"/>
      <c r="G33" s="227"/>
      <c r="H33" s="47"/>
      <c r="I33" s="47"/>
    </row>
    <row r="34" spans="1:9" ht="15">
      <c r="A34" s="47"/>
      <c r="B34" s="47"/>
      <c r="C34" s="47"/>
      <c r="D34" s="227"/>
      <c r="E34" s="227"/>
      <c r="F34" s="227"/>
      <c r="G34" s="227"/>
      <c r="H34" s="47"/>
      <c r="I34" s="47"/>
    </row>
    <row r="35" spans="1:9" ht="15">
      <c r="A35" s="47"/>
      <c r="B35" s="47"/>
      <c r="C35" s="47"/>
      <c r="D35" s="227"/>
      <c r="E35" s="227"/>
      <c r="F35" s="227"/>
      <c r="G35" s="227"/>
      <c r="H35" s="47"/>
      <c r="I35" s="47"/>
    </row>
    <row r="36" spans="1:9" ht="15">
      <c r="A36" s="47"/>
      <c r="B36" s="47"/>
      <c r="C36" s="47"/>
      <c r="D36" s="227"/>
      <c r="E36" s="227"/>
      <c r="F36" s="227"/>
      <c r="G36" s="227"/>
      <c r="H36" s="47"/>
      <c r="I36" s="4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2C5C-A7EC-4A43-9046-DD847D480267}">
  <sheetPr codeName="Hoja18"/>
  <dimension ref="B1:K38"/>
  <sheetViews>
    <sheetView showGridLines="0" workbookViewId="0">
      <selection activeCell="C6" sqref="C6"/>
    </sheetView>
  </sheetViews>
  <sheetFormatPr baseColWidth="10" defaultRowHeight="12" customHeight="1"/>
  <cols>
    <col min="1" max="1" width="22.5703125" customWidth="1"/>
    <col min="2" max="2" width="50" customWidth="1"/>
    <col min="3" max="8" width="14.5703125" customWidth="1"/>
  </cols>
  <sheetData>
    <row r="1" spans="2:11" ht="13.5"/>
    <row r="2" spans="2:11" ht="15">
      <c r="B2" s="38"/>
    </row>
    <row r="3" spans="2:11" ht="12" customHeight="1">
      <c r="B3" s="88" t="str">
        <f>+Datos!C4</f>
        <v>Fideicomiso Irrevocable 4341</v>
      </c>
      <c r="C3" s="70"/>
      <c r="D3" s="70"/>
      <c r="F3" s="21"/>
    </row>
    <row r="4" spans="2:11" ht="12" customHeight="1">
      <c r="B4" s="88" t="str">
        <f>+Datos!C5</f>
        <v>Fideicomiso FORTMCK 19-12 Lomas Verdes</v>
      </c>
      <c r="F4" s="21"/>
    </row>
    <row r="5" spans="2:11" ht="6" customHeight="1">
      <c r="B5" s="89"/>
      <c r="F5" s="21"/>
    </row>
    <row r="6" spans="2:11" ht="52.9" customHeight="1">
      <c r="B6" s="90" t="str">
        <f>+"Estados financieros "&amp;LOWER(Datos!C7)&amp;", e Informe de los auditores independientes del "&amp;Datos!C10</f>
        <v>Estados financieros por los ejercicios terminados al 31 de diciembre de 2024 y 2023, e Informe de los auditores independientes del 30 de abril de 2025</v>
      </c>
      <c r="C6" s="83"/>
      <c r="D6" s="83"/>
      <c r="F6" s="21"/>
    </row>
    <row r="7" spans="2:11" ht="12" customHeight="1">
      <c r="F7" s="21"/>
    </row>
    <row r="8" spans="2:11" ht="12" customHeight="1">
      <c r="B8" s="69"/>
      <c r="F8" s="21"/>
    </row>
    <row r="9" spans="2:11" ht="12" customHeight="1">
      <c r="B9" s="70"/>
      <c r="C9" s="70"/>
      <c r="D9" s="70"/>
      <c r="F9" s="21"/>
      <c r="J9" s="70"/>
      <c r="K9" s="70"/>
    </row>
    <row r="10" spans="2:11" ht="12" customHeight="1">
      <c r="B10" s="71"/>
      <c r="C10" s="71"/>
      <c r="D10" s="71"/>
      <c r="F10" s="21"/>
      <c r="J10" s="71"/>
      <c r="K10" s="71"/>
    </row>
    <row r="11" spans="2:11" ht="12" customHeight="1">
      <c r="B11" s="71"/>
      <c r="C11" s="83"/>
      <c r="D11" s="84"/>
      <c r="F11" s="21"/>
      <c r="J11" s="73"/>
      <c r="K11" s="74"/>
    </row>
    <row r="12" spans="2:11" ht="12" customHeight="1">
      <c r="B12" s="71"/>
      <c r="C12" s="85"/>
      <c r="D12" s="86"/>
      <c r="F12" s="21"/>
      <c r="G12" s="21"/>
      <c r="H12" s="72"/>
      <c r="J12" s="75"/>
      <c r="K12" s="71"/>
    </row>
    <row r="13" spans="2:11" ht="12" customHeight="1">
      <c r="B13" s="69"/>
      <c r="F13" s="21"/>
    </row>
    <row r="14" spans="2:11" ht="15">
      <c r="B14" s="39"/>
      <c r="F14" s="21"/>
    </row>
    <row r="15" spans="2:11" ht="12" customHeight="1">
      <c r="B15" s="39"/>
      <c r="C15" s="62"/>
      <c r="D15" s="62"/>
      <c r="E15" s="39"/>
      <c r="F15" s="39"/>
    </row>
    <row r="16" spans="2:11" ht="12" customHeight="1">
      <c r="B16" s="39"/>
      <c r="C16" s="62"/>
      <c r="D16" s="62"/>
      <c r="E16" s="44"/>
      <c r="F16" s="44"/>
    </row>
    <row r="17" spans="2:6" ht="12" customHeight="1">
      <c r="B17" s="39"/>
      <c r="C17" s="62"/>
      <c r="D17" s="62"/>
      <c r="E17" s="55"/>
      <c r="F17" s="55"/>
    </row>
    <row r="18" spans="2:6" ht="12" customHeight="1">
      <c r="B18" s="39"/>
      <c r="C18" s="62"/>
      <c r="D18" s="62"/>
      <c r="E18" s="39"/>
      <c r="F18" s="39"/>
    </row>
    <row r="19" spans="2:6" ht="12" customHeight="1">
      <c r="B19" s="58"/>
      <c r="C19" s="62"/>
      <c r="D19" s="62"/>
      <c r="E19" s="45"/>
      <c r="F19" s="39"/>
    </row>
    <row r="20" spans="2:6" ht="12" customHeight="1">
      <c r="B20" s="39"/>
      <c r="C20" s="56"/>
      <c r="D20" s="56"/>
      <c r="E20" s="39"/>
      <c r="F20" s="39"/>
    </row>
    <row r="21" spans="2:6" ht="12" customHeight="1">
      <c r="B21" s="39"/>
      <c r="C21" s="62"/>
      <c r="D21" s="62"/>
      <c r="E21" s="321"/>
      <c r="F21" s="321"/>
    </row>
    <row r="22" spans="2:6" ht="12" customHeight="1">
      <c r="B22" s="39"/>
      <c r="C22" s="62"/>
      <c r="D22" s="62"/>
      <c r="E22" s="321"/>
      <c r="F22" s="321"/>
    </row>
    <row r="23" spans="2:6" ht="12" customHeight="1">
      <c r="B23" s="58"/>
      <c r="C23" s="58"/>
      <c r="D23" s="58"/>
      <c r="E23" s="39"/>
      <c r="F23" s="39"/>
    </row>
    <row r="24" spans="2:6" ht="12" customHeight="1">
      <c r="B24" s="39"/>
      <c r="C24" s="57"/>
      <c r="D24" s="57"/>
      <c r="E24" s="53"/>
      <c r="F24" s="53"/>
    </row>
    <row r="25" spans="2:6" ht="12" customHeight="1">
      <c r="B25" s="39"/>
      <c r="C25" s="62"/>
      <c r="D25" s="62"/>
      <c r="F25" s="21"/>
    </row>
    <row r="26" spans="2:6" ht="12" customHeight="1">
      <c r="B26" s="39"/>
      <c r="C26" s="58"/>
      <c r="D26" s="58"/>
      <c r="F26" s="21"/>
    </row>
    <row r="27" spans="2:6" ht="12" customHeight="1">
      <c r="B27" s="58"/>
      <c r="C27" s="58"/>
      <c r="D27" s="58"/>
    </row>
    <row r="28" spans="2:6" ht="12" customHeight="1">
      <c r="B28" s="58"/>
      <c r="C28" s="62"/>
      <c r="D28" s="62"/>
    </row>
    <row r="29" spans="2:6" ht="12" customHeight="1">
      <c r="B29" s="39"/>
      <c r="C29" s="57"/>
      <c r="D29" s="57"/>
    </row>
    <row r="30" spans="2:6" ht="12" customHeight="1">
      <c r="B30" s="58"/>
      <c r="C30" s="57"/>
      <c r="D30" s="57"/>
    </row>
    <row r="31" spans="2:6" ht="12" customHeight="1">
      <c r="B31" s="39"/>
      <c r="C31" s="58"/>
      <c r="D31" s="58"/>
    </row>
    <row r="32" spans="2:6" ht="12" customHeight="1">
      <c r="B32" s="58"/>
      <c r="C32" s="57"/>
      <c r="D32" s="62"/>
    </row>
    <row r="33" spans="2:4" ht="12" customHeight="1">
      <c r="B33" s="39"/>
      <c r="C33" s="58"/>
      <c r="D33" s="58"/>
    </row>
    <row r="34" spans="2:4" ht="12" customHeight="1">
      <c r="B34" s="64"/>
      <c r="C34" s="61"/>
      <c r="D34" s="61"/>
    </row>
    <row r="35" spans="2:4" ht="12" customHeight="1">
      <c r="B35" s="65"/>
      <c r="C35" s="58"/>
      <c r="D35" s="58"/>
    </row>
    <row r="36" spans="2:4" ht="12" customHeight="1">
      <c r="B36" s="38"/>
      <c r="C36" s="63"/>
      <c r="D36" s="63"/>
    </row>
    <row r="37" spans="2:4" ht="12" customHeight="1">
      <c r="B37" s="66"/>
      <c r="C37" s="43"/>
      <c r="D37" s="43"/>
    </row>
    <row r="38" spans="2:4" ht="12" customHeight="1">
      <c r="C38" s="65"/>
      <c r="D38" s="65"/>
    </row>
  </sheetData>
  <mergeCells count="2">
    <mergeCell ref="E21:E22"/>
    <mergeCell ref="F21:F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34E8-92B1-4008-A063-6E331626EEDC}">
  <sheetPr codeName="Hoja19"/>
  <dimension ref="B1:K44"/>
  <sheetViews>
    <sheetView showGridLines="0" topLeftCell="A10" zoomScale="130" zoomScaleNormal="130" workbookViewId="0">
      <selection activeCell="B8" sqref="B8:C9"/>
    </sheetView>
  </sheetViews>
  <sheetFormatPr baseColWidth="10" defaultRowHeight="12" customHeight="1"/>
  <cols>
    <col min="2" max="2" width="79.140625" customWidth="1"/>
    <col min="3" max="3" width="8.42578125" customWidth="1"/>
    <col min="4" max="8" width="14.5703125" customWidth="1"/>
  </cols>
  <sheetData>
    <row r="1" spans="2:11" ht="13.5"/>
    <row r="2" spans="2:11" ht="15">
      <c r="B2" s="38"/>
    </row>
    <row r="3" spans="2:11" ht="12" customHeight="1">
      <c r="B3" s="88"/>
      <c r="C3" s="70"/>
      <c r="D3" s="70"/>
      <c r="F3" s="21"/>
    </row>
    <row r="4" spans="2:11" ht="12" customHeight="1">
      <c r="B4" s="88"/>
      <c r="F4" s="21"/>
    </row>
    <row r="5" spans="2:11" ht="18">
      <c r="B5" s="89"/>
      <c r="F5" s="21"/>
    </row>
    <row r="6" spans="2:11" ht="12" customHeight="1">
      <c r="B6" s="91" t="str">
        <f>+Datos!C4</f>
        <v>Fideicomiso Irrevocable 4341</v>
      </c>
      <c r="F6" s="21"/>
    </row>
    <row r="7" spans="2:11" ht="18.75">
      <c r="B7" s="91" t="str">
        <f>+Datos!C5</f>
        <v>Fideicomiso FORTMCK 19-12 Lomas Verdes</v>
      </c>
      <c r="D7" s="83"/>
      <c r="F7" s="21"/>
    </row>
    <row r="8" spans="2:11" ht="18.75">
      <c r="B8" s="91"/>
      <c r="D8" s="83"/>
      <c r="F8" s="21"/>
    </row>
    <row r="9" spans="2:11" ht="25.15" customHeight="1">
      <c r="B9" s="322" t="str">
        <f>+"Informe de los auditores independientes y estados financieros "&amp;LOWER(Datos!C7)</f>
        <v>Informe de los auditores independientes y estados financieros por los ejercicios terminados al 31 de diciembre de 2024 y 2023</v>
      </c>
      <c r="C9" s="322"/>
      <c r="D9" t="s">
        <v>383</v>
      </c>
      <c r="F9" s="21"/>
    </row>
    <row r="10" spans="2:11" ht="25.15" customHeight="1">
      <c r="B10" s="96"/>
      <c r="C10" s="96"/>
      <c r="F10" s="21"/>
    </row>
    <row r="11" spans="2:11" ht="12" customHeight="1">
      <c r="B11" s="92"/>
      <c r="F11" s="21"/>
    </row>
    <row r="12" spans="2:11" s="99" customFormat="1" ht="12" customHeight="1">
      <c r="B12" s="97" t="s">
        <v>336</v>
      </c>
      <c r="C12" s="111" t="s">
        <v>337</v>
      </c>
      <c r="D12" s="98"/>
      <c r="F12" s="100"/>
      <c r="J12" s="98"/>
      <c r="K12" s="98"/>
    </row>
    <row r="13" spans="2:11" s="99" customFormat="1" ht="12" customHeight="1">
      <c r="B13" s="97"/>
      <c r="C13" s="111"/>
      <c r="D13" s="98"/>
      <c r="F13" s="100"/>
      <c r="J13" s="98"/>
      <c r="K13" s="98"/>
    </row>
    <row r="14" spans="2:11" s="99" customFormat="1" ht="12" customHeight="1">
      <c r="B14" s="97"/>
      <c r="C14" s="111"/>
      <c r="D14" s="98"/>
      <c r="F14" s="100"/>
      <c r="J14" s="98"/>
      <c r="K14" s="98"/>
    </row>
    <row r="15" spans="2:11" s="99" customFormat="1" ht="12" customHeight="1">
      <c r="B15" s="97"/>
      <c r="C15" s="111"/>
      <c r="D15" s="98"/>
      <c r="F15" s="100"/>
      <c r="J15" s="98"/>
      <c r="K15" s="98"/>
    </row>
    <row r="16" spans="2:11" s="99" customFormat="1" ht="22.15" customHeight="1">
      <c r="B16" s="101" t="s">
        <v>338</v>
      </c>
      <c r="C16" s="112">
        <v>1</v>
      </c>
      <c r="D16" s="102"/>
      <c r="F16" s="100"/>
      <c r="J16" s="102"/>
      <c r="K16" s="102"/>
    </row>
    <row r="17" spans="2:11" s="99" customFormat="1" ht="22.15" customHeight="1">
      <c r="B17" s="101" t="s">
        <v>282</v>
      </c>
      <c r="C17" s="112">
        <v>3</v>
      </c>
      <c r="D17" s="103"/>
      <c r="F17" s="100"/>
      <c r="J17" s="104"/>
      <c r="K17" s="105"/>
    </row>
    <row r="18" spans="2:11" s="99" customFormat="1" ht="22.15" customHeight="1">
      <c r="B18" s="101" t="s">
        <v>287</v>
      </c>
      <c r="C18" s="112">
        <v>4</v>
      </c>
      <c r="D18" s="106"/>
      <c r="F18" s="100"/>
      <c r="G18" s="100"/>
      <c r="H18" s="107"/>
      <c r="J18" s="108"/>
      <c r="K18" s="102"/>
    </row>
    <row r="19" spans="2:11" s="99" customFormat="1" ht="22.15" customHeight="1">
      <c r="B19" s="101" t="s">
        <v>339</v>
      </c>
      <c r="C19" s="112">
        <v>5</v>
      </c>
      <c r="F19" s="100"/>
    </row>
    <row r="20" spans="2:11" s="99" customFormat="1" ht="22.15" customHeight="1">
      <c r="B20" s="101" t="s">
        <v>301</v>
      </c>
      <c r="C20" s="112">
        <v>6</v>
      </c>
      <c r="F20" s="100"/>
    </row>
    <row r="21" spans="2:11" s="99" customFormat="1" ht="22.15" customHeight="1">
      <c r="B21" s="101" t="s">
        <v>340</v>
      </c>
      <c r="C21" s="112">
        <v>7</v>
      </c>
      <c r="D21" s="109"/>
      <c r="E21" s="110"/>
      <c r="F21" s="110"/>
    </row>
    <row r="22" spans="2:11" ht="12" customHeight="1">
      <c r="B22" s="39"/>
      <c r="C22" s="62"/>
      <c r="D22" s="62"/>
      <c r="E22" s="44"/>
      <c r="F22" s="44"/>
    </row>
    <row r="23" spans="2:11" ht="12" customHeight="1">
      <c r="B23" s="39"/>
      <c r="C23" s="62"/>
      <c r="D23" s="62"/>
      <c r="E23" s="55"/>
      <c r="F23" s="55"/>
    </row>
    <row r="24" spans="2:11" ht="12" customHeight="1">
      <c r="B24" s="39"/>
      <c r="C24" s="62"/>
      <c r="D24" s="62"/>
      <c r="E24" s="39"/>
      <c r="F24" s="39"/>
    </row>
    <row r="25" spans="2:11" ht="12" customHeight="1">
      <c r="B25" s="58"/>
      <c r="C25" s="62"/>
      <c r="D25" s="62"/>
      <c r="E25" s="45"/>
      <c r="F25" s="39"/>
    </row>
    <row r="26" spans="2:11" ht="12" customHeight="1">
      <c r="B26" s="39"/>
      <c r="C26" s="56"/>
      <c r="D26" s="56"/>
      <c r="E26" s="39"/>
      <c r="F26" s="39"/>
    </row>
    <row r="27" spans="2:11" ht="12" customHeight="1">
      <c r="B27" s="39"/>
      <c r="C27" s="62"/>
      <c r="D27" s="62"/>
      <c r="E27" s="321"/>
      <c r="F27" s="321"/>
    </row>
    <row r="28" spans="2:11" ht="12" customHeight="1">
      <c r="B28" s="39"/>
      <c r="C28" s="62"/>
      <c r="D28" s="62"/>
      <c r="E28" s="321"/>
      <c r="F28" s="321"/>
    </row>
    <row r="29" spans="2:11" ht="12" customHeight="1">
      <c r="B29" s="58"/>
      <c r="C29" s="58"/>
      <c r="D29" s="58"/>
      <c r="E29" s="39"/>
      <c r="F29" s="39"/>
    </row>
    <row r="30" spans="2:11" ht="12" customHeight="1">
      <c r="B30" s="39"/>
      <c r="C30" s="57"/>
      <c r="D30" s="57"/>
      <c r="E30" s="53"/>
      <c r="F30" s="53"/>
    </row>
    <row r="31" spans="2:11" ht="12" customHeight="1">
      <c r="B31" s="39"/>
      <c r="C31" s="62"/>
      <c r="D31" s="62"/>
      <c r="F31" s="21"/>
    </row>
    <row r="32" spans="2:11" ht="12" customHeight="1">
      <c r="B32" s="39"/>
      <c r="C32" s="58"/>
      <c r="D32" s="58"/>
      <c r="F32" s="21"/>
    </row>
    <row r="33" spans="2:4" ht="12" customHeight="1">
      <c r="B33" s="58"/>
      <c r="C33" s="58"/>
      <c r="D33" s="58"/>
    </row>
    <row r="34" spans="2:4" ht="12" customHeight="1">
      <c r="B34" s="58"/>
      <c r="C34" s="62"/>
      <c r="D34" s="62"/>
    </row>
    <row r="35" spans="2:4" ht="12" customHeight="1">
      <c r="B35" s="39"/>
      <c r="C35" s="57"/>
      <c r="D35" s="57"/>
    </row>
    <row r="36" spans="2:4" ht="12" customHeight="1">
      <c r="B36" s="58"/>
      <c r="C36" s="57"/>
      <c r="D36" s="57"/>
    </row>
    <row r="37" spans="2:4" ht="12" customHeight="1">
      <c r="B37" s="39"/>
      <c r="C37" s="58"/>
      <c r="D37" s="58"/>
    </row>
    <row r="38" spans="2:4" ht="12" customHeight="1">
      <c r="B38" s="58"/>
      <c r="C38" s="62"/>
      <c r="D38" s="62"/>
    </row>
    <row r="39" spans="2:4" ht="12" customHeight="1">
      <c r="B39" s="39"/>
      <c r="C39" s="58"/>
      <c r="D39" s="58"/>
    </row>
    <row r="40" spans="2:4" ht="12" customHeight="1">
      <c r="B40" s="64"/>
      <c r="C40" s="61"/>
      <c r="D40" s="61"/>
    </row>
    <row r="41" spans="2:4" ht="12" customHeight="1">
      <c r="B41" s="65"/>
      <c r="C41" s="58"/>
      <c r="D41" s="58"/>
    </row>
    <row r="42" spans="2:4" ht="12" customHeight="1">
      <c r="B42" s="38"/>
      <c r="C42" s="63"/>
      <c r="D42" s="63"/>
    </row>
    <row r="43" spans="2:4" ht="12" customHeight="1">
      <c r="B43" s="66"/>
      <c r="C43" s="43"/>
      <c r="D43" s="43"/>
    </row>
    <row r="44" spans="2:4" ht="12" customHeight="1">
      <c r="C44" s="65"/>
      <c r="D44" s="65"/>
    </row>
  </sheetData>
  <mergeCells count="3">
    <mergeCell ref="E27:E28"/>
    <mergeCell ref="F27:F28"/>
    <mergeCell ref="B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04DB4-D430-48DC-AED2-32E60202E0D9}">
  <sheetPr codeName="Hoja20"/>
  <dimension ref="B1:K39"/>
  <sheetViews>
    <sheetView showGridLines="0" tabSelected="1" topLeftCell="A9" zoomScaleNormal="100" workbookViewId="0">
      <selection activeCell="B22" sqref="B22"/>
    </sheetView>
  </sheetViews>
  <sheetFormatPr baseColWidth="10" defaultRowHeight="12" customHeight="1"/>
  <cols>
    <col min="2" max="2" width="79.140625" customWidth="1"/>
    <col min="3" max="3" width="8.42578125" customWidth="1"/>
    <col min="4" max="6" width="14.5703125" customWidth="1"/>
    <col min="7" max="7" width="96.28515625" customWidth="1"/>
    <col min="8" max="8" width="14.5703125" customWidth="1"/>
  </cols>
  <sheetData>
    <row r="1" spans="2:11" ht="13.5"/>
    <row r="2" spans="2:11" ht="15">
      <c r="B2" s="38"/>
    </row>
    <row r="3" spans="2:11" ht="12" customHeight="1">
      <c r="B3" s="88"/>
      <c r="C3" s="70"/>
      <c r="D3" s="70"/>
      <c r="F3" s="21"/>
    </row>
    <row r="4" spans="2:11" ht="12" customHeight="1">
      <c r="B4" s="88"/>
      <c r="F4" s="21"/>
    </row>
    <row r="5" spans="2:11" ht="15">
      <c r="B5" s="69" t="s">
        <v>341</v>
      </c>
      <c r="F5" s="21"/>
    </row>
    <row r="6" spans="2:11" ht="15">
      <c r="B6" s="69" t="str">
        <f>+Datos!C4</f>
        <v>Fideicomiso Irrevocable 4341</v>
      </c>
      <c r="F6" s="21"/>
    </row>
    <row r="7" spans="2:11" ht="15">
      <c r="B7" s="69" t="str">
        <f>+Datos!C5</f>
        <v>Fideicomiso FORTMCK 19-12 Lomas Verdes</v>
      </c>
      <c r="D7" s="83"/>
      <c r="F7" s="21"/>
    </row>
    <row r="8" spans="2:11" ht="15">
      <c r="B8" s="69"/>
      <c r="D8" s="83"/>
      <c r="F8" s="21"/>
    </row>
    <row r="9" spans="2:11" ht="16.5">
      <c r="B9" s="114"/>
      <c r="C9" s="113"/>
      <c r="F9" s="21"/>
    </row>
    <row r="10" spans="2:11" ht="18.75">
      <c r="B10" s="115" t="str">
        <f>+UPPER("Informe de los Auditores Independientes")</f>
        <v>INFORME DE LOS AUDITORES INDEPENDIENTES</v>
      </c>
      <c r="C10" s="96"/>
      <c r="F10" s="21"/>
    </row>
    <row r="11" spans="2:11" s="99" customFormat="1" ht="18.75">
      <c r="B11" s="115" t="s">
        <v>383</v>
      </c>
      <c r="C11" s="111"/>
      <c r="D11" s="98"/>
      <c r="F11" s="100"/>
      <c r="J11" s="98"/>
      <c r="K11" s="98"/>
    </row>
    <row r="12" spans="2:11" s="99" customFormat="1" ht="4.1500000000000004" customHeight="1">
      <c r="B12" s="114"/>
      <c r="C12" s="111"/>
      <c r="D12" s="98"/>
      <c r="F12" s="100"/>
      <c r="J12" s="98"/>
      <c r="K12" s="98"/>
    </row>
    <row r="13" spans="2:11" s="99" customFormat="1" ht="4.1500000000000004" customHeight="1">
      <c r="B13" s="114"/>
      <c r="C13" s="111"/>
      <c r="D13" s="98"/>
      <c r="F13" s="100"/>
      <c r="J13" s="98"/>
      <c r="K13" s="98"/>
    </row>
    <row r="14" spans="2:11" s="99" customFormat="1" ht="9.75" customHeight="1">
      <c r="B14" s="93" t="s">
        <v>437</v>
      </c>
      <c r="C14" s="111"/>
      <c r="D14" s="98"/>
      <c r="F14" s="100"/>
      <c r="J14" s="98"/>
      <c r="K14" s="98"/>
    </row>
    <row r="15" spans="2:11" s="99" customFormat="1" ht="1.5" customHeight="1">
      <c r="B15" s="116"/>
      <c r="C15" s="112"/>
      <c r="D15" s="102"/>
      <c r="F15" s="100"/>
      <c r="J15" s="102"/>
      <c r="K15" s="102"/>
    </row>
    <row r="16" spans="2:11" s="99" customFormat="1" ht="36.75" customHeight="1">
      <c r="B16" s="94" t="str">
        <f>+CONCATENATE(G16,Datos!C4,", ",Datos!C5,,'Dictamen 1'!G18,LOWER(Datos!C14),'Dictamen 1'!G20)</f>
        <v>Hemos auditado los estados financieros adjuntos de Fideicomiso Irrevocable 4341, Fideicomiso FORTMCK 19-12 Lomas Verdes, (el “Fideicomiso”), que comprenden los estados de posición financiera al 31 de diciembre de 2024 y 2023, los estados de resultados, de cambios en el patrimonio y de flujos de efectivo, por los ejercicios terminados en dichas fechas, así como las notas explicativas de los estados financieros, las cuales incluyen un resumen de las principales políticas contables.</v>
      </c>
      <c r="C16" s="112"/>
      <c r="D16" s="103"/>
      <c r="F16" s="100"/>
      <c r="G16" s="94" t="s">
        <v>424</v>
      </c>
      <c r="J16" s="104"/>
      <c r="K16" s="105"/>
    </row>
    <row r="17" spans="2:11" s="99" customFormat="1" ht="4.1500000000000004" customHeight="1">
      <c r="B17" s="117"/>
      <c r="C17" s="112"/>
      <c r="D17" s="106"/>
      <c r="F17" s="100"/>
      <c r="G17" s="100"/>
      <c r="H17" s="107"/>
      <c r="J17" s="108"/>
      <c r="K17" s="102"/>
    </row>
    <row r="18" spans="2:11" s="99" customFormat="1" ht="54">
      <c r="B18" s="94" t="str">
        <f>+CONCATENATE("En nuestra opinión, los estados financieros adjuntos presentan razonablemente, en todos los aspectos importantes la situación financiera del Fideicomiso ",LOWER(Datos!C14),", así como su desempeño financiero y sus flujos de efectivo correspondientes a los ejercicios terminados en dicha fecha, de conformidad con las Normas de Información Financiera Mexicanas (NIF).")</f>
        <v>En nuestra opinión, los estados financieros adjuntos presentan razonablemente, en todos los aspectos importantes la situación financiera del Fideicomiso al 31 de diciembre de 2024 y 2023, así como su desempeño financiero y sus flujos de efectivo correspondientes a los ejercicios terminados en dicha fecha, de conformidad con las Normas de Información Financiera Mexicanas (NIF).</v>
      </c>
      <c r="C18" s="112"/>
      <c r="F18" s="100"/>
      <c r="G18" s="94" t="s">
        <v>499</v>
      </c>
    </row>
    <row r="19" spans="2:11" s="99" customFormat="1" ht="4.1500000000000004" customHeight="1">
      <c r="B19" s="94"/>
      <c r="C19" s="112"/>
      <c r="F19" s="100"/>
    </row>
    <row r="20" spans="2:11" s="99" customFormat="1" ht="8.25" customHeight="1">
      <c r="B20" s="93" t="s">
        <v>342</v>
      </c>
      <c r="C20" s="112"/>
      <c r="D20" s="109"/>
      <c r="E20" s="110"/>
      <c r="F20" s="110"/>
      <c r="G20" s="176" t="s">
        <v>500</v>
      </c>
    </row>
    <row r="21" spans="2:11" ht="4.1500000000000004" customHeight="1">
      <c r="B21" s="94"/>
      <c r="C21" s="62"/>
      <c r="D21" s="62"/>
      <c r="E21" s="44"/>
      <c r="F21" s="44"/>
    </row>
    <row r="22" spans="2:11" ht="47.25" customHeight="1">
      <c r="B22" s="94" t="s">
        <v>598</v>
      </c>
      <c r="C22" s="62"/>
      <c r="D22" s="62"/>
      <c r="E22" s="55"/>
      <c r="F22" s="55"/>
      <c r="G22" t="s">
        <v>427</v>
      </c>
    </row>
    <row r="23" spans="2:11" ht="7.5" customHeight="1">
      <c r="B23" s="93"/>
      <c r="C23" s="62"/>
      <c r="D23" s="62"/>
      <c r="E23" s="45"/>
      <c r="F23" s="39"/>
      <c r="G23" s="152" t="s">
        <v>442</v>
      </c>
    </row>
    <row r="24" spans="2:11" ht="20.25" customHeight="1">
      <c r="B24" s="93" t="s">
        <v>343</v>
      </c>
      <c r="C24" s="58"/>
      <c r="D24" s="58"/>
      <c r="E24" s="39"/>
      <c r="F24" s="39"/>
    </row>
    <row r="25" spans="2:11" ht="4.1500000000000004" customHeight="1">
      <c r="B25" s="94"/>
      <c r="C25" s="57"/>
      <c r="D25" s="57"/>
      <c r="E25" s="53"/>
      <c r="F25" s="53"/>
    </row>
    <row r="26" spans="2:11" ht="36" customHeight="1">
      <c r="B26" s="94" t="s">
        <v>599</v>
      </c>
      <c r="C26" s="62"/>
      <c r="D26" s="62"/>
      <c r="F26" s="21"/>
    </row>
    <row r="27" spans="2:11" ht="4.1500000000000004" customHeight="1">
      <c r="B27" s="94"/>
      <c r="C27" s="58"/>
      <c r="D27" s="58"/>
      <c r="F27" s="21"/>
    </row>
    <row r="28" spans="2:11" ht="37.5" customHeight="1">
      <c r="B28" s="94" t="s">
        <v>344</v>
      </c>
      <c r="C28" s="58"/>
      <c r="D28" s="58"/>
    </row>
    <row r="29" spans="2:11" ht="4.1500000000000004" customHeight="1">
      <c r="B29" s="94"/>
      <c r="C29" s="62"/>
      <c r="D29" s="62"/>
    </row>
    <row r="30" spans="2:11" ht="23.25" customHeight="1">
      <c r="B30" s="94" t="s">
        <v>345</v>
      </c>
      <c r="C30" s="57"/>
      <c r="D30" s="57"/>
    </row>
    <row r="31" spans="2:11" ht="15">
      <c r="B31" s="58"/>
      <c r="C31" s="57"/>
      <c r="D31" s="57"/>
    </row>
    <row r="32" spans="2:11" ht="15">
      <c r="B32" s="39"/>
      <c r="C32" s="58"/>
      <c r="D32" s="58"/>
    </row>
    <row r="33" spans="2:4" ht="12" customHeight="1">
      <c r="B33" s="58"/>
      <c r="C33" s="62"/>
      <c r="D33" s="62"/>
    </row>
    <row r="34" spans="2:4" ht="12" customHeight="1">
      <c r="B34" s="39"/>
      <c r="C34" s="58"/>
      <c r="D34" s="58"/>
    </row>
    <row r="35" spans="2:4" ht="12" customHeight="1">
      <c r="B35" s="64"/>
      <c r="C35" s="61"/>
      <c r="D35" s="61"/>
    </row>
    <row r="36" spans="2:4" ht="12" customHeight="1">
      <c r="B36" s="65"/>
      <c r="C36" s="58"/>
      <c r="D36" s="58"/>
    </row>
    <row r="37" spans="2:4" ht="12" customHeight="1">
      <c r="B37" s="38"/>
      <c r="C37" s="63"/>
      <c r="D37" s="63"/>
    </row>
    <row r="38" spans="2:4" ht="12" customHeight="1">
      <c r="B38" s="66"/>
      <c r="C38" s="43"/>
      <c r="D38" s="43"/>
    </row>
    <row r="39" spans="2:4" ht="12" customHeight="1">
      <c r="C39" s="65"/>
      <c r="D39" s="6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726C-2407-4DC2-A2A5-0EF93F941659}">
  <sheetPr codeName="Hoja21"/>
  <dimension ref="B1:F26"/>
  <sheetViews>
    <sheetView showGridLines="0" topLeftCell="A8" zoomScaleNormal="100" workbookViewId="0">
      <selection activeCell="D18" sqref="D18"/>
    </sheetView>
  </sheetViews>
  <sheetFormatPr baseColWidth="10" defaultRowHeight="12" customHeight="1"/>
  <cols>
    <col min="2" max="2" width="89.42578125" customWidth="1"/>
    <col min="3" max="3" width="8.42578125" customWidth="1"/>
    <col min="4" max="8" width="14.5703125" customWidth="1"/>
  </cols>
  <sheetData>
    <row r="1" spans="2:6" ht="13.5"/>
    <row r="2" spans="2:6" ht="15">
      <c r="B2" s="38"/>
    </row>
    <row r="3" spans="2:6" ht="12" customHeight="1">
      <c r="B3" s="88"/>
      <c r="C3" s="70"/>
      <c r="D3" s="70"/>
      <c r="F3" s="21"/>
    </row>
    <row r="4" spans="2:6" ht="13.5">
      <c r="B4" s="118" t="s">
        <v>438</v>
      </c>
      <c r="F4" s="21"/>
    </row>
    <row r="5" spans="2:6" ht="2.65" customHeight="1">
      <c r="B5" s="119"/>
      <c r="C5" s="57"/>
      <c r="D5" s="57"/>
    </row>
    <row r="6" spans="2:6" ht="52.5" customHeight="1">
      <c r="B6" s="119" t="s">
        <v>346</v>
      </c>
      <c r="C6" s="58"/>
      <c r="D6" s="58"/>
    </row>
    <row r="7" spans="2:6" ht="2.65" customHeight="1">
      <c r="B7" s="119"/>
      <c r="C7" s="62"/>
      <c r="D7" s="62"/>
    </row>
    <row r="8" spans="2:6" ht="23.25" customHeight="1">
      <c r="B8" s="119" t="s">
        <v>347</v>
      </c>
      <c r="C8" s="58"/>
      <c r="D8" s="58"/>
    </row>
    <row r="9" spans="2:6" ht="2.65" customHeight="1">
      <c r="B9" s="119"/>
      <c r="C9" s="61"/>
      <c r="D9" s="61"/>
    </row>
    <row r="10" spans="2:6" ht="51.75" customHeight="1">
      <c r="B10" s="120" t="s">
        <v>348</v>
      </c>
      <c r="C10" s="63"/>
      <c r="D10" s="63"/>
    </row>
    <row r="11" spans="2:6" ht="2.65" customHeight="1">
      <c r="B11" s="119"/>
      <c r="C11" s="43"/>
      <c r="D11" s="43"/>
    </row>
    <row r="12" spans="2:6" ht="36.75" customHeight="1">
      <c r="B12" s="120" t="s">
        <v>349</v>
      </c>
      <c r="C12" s="65"/>
      <c r="D12" s="65"/>
    </row>
    <row r="13" spans="2:6" ht="2.65" customHeight="1">
      <c r="B13" s="119"/>
    </row>
    <row r="14" spans="2:6" ht="23.25" customHeight="1">
      <c r="B14" s="120" t="s">
        <v>350</v>
      </c>
    </row>
    <row r="15" spans="2:6" ht="2.65" customHeight="1">
      <c r="B15" s="119"/>
    </row>
    <row r="16" spans="2:6" ht="67.5" customHeight="1">
      <c r="B16" s="120" t="s">
        <v>351</v>
      </c>
    </row>
    <row r="17" spans="2:2" ht="2.65" customHeight="1">
      <c r="B17" s="119"/>
    </row>
    <row r="18" spans="2:2" ht="25.5" customHeight="1">
      <c r="B18" s="120" t="s">
        <v>352</v>
      </c>
    </row>
    <row r="19" spans="2:2" ht="2.65" customHeight="1">
      <c r="B19" s="101"/>
    </row>
    <row r="20" spans="2:2" ht="37.5" customHeight="1">
      <c r="B20" s="120" t="s">
        <v>600</v>
      </c>
    </row>
    <row r="21" spans="2:2" ht="41.45" customHeight="1">
      <c r="B21" s="121"/>
    </row>
    <row r="22" spans="2:2" ht="13.5">
      <c r="B22" s="122" t="s">
        <v>353</v>
      </c>
    </row>
    <row r="23" spans="2:2" ht="13.5">
      <c r="B23" s="122" t="s">
        <v>354</v>
      </c>
    </row>
    <row r="24" spans="2:2" ht="13.5">
      <c r="B24" s="122" t="s">
        <v>355</v>
      </c>
    </row>
    <row r="25" spans="2:2" ht="2.65" customHeight="1">
      <c r="B25" s="122"/>
    </row>
    <row r="26" spans="2:2" ht="13.5">
      <c r="B26" s="122" t="str">
        <f>+Datos!C10</f>
        <v>30 de abril de 2025</v>
      </c>
    </row>
  </sheetData>
  <pageMargins left="0.7" right="0.7" top="0.75" bottom="0.75" header="0.3" footer="0.3"/>
  <pageSetup fitToWidth="0" fitToHeight="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BB7D-BC98-4800-8D10-A74454A9E2D5}">
  <sheetPr codeName="Hoja8"/>
  <dimension ref="A1:Y75"/>
  <sheetViews>
    <sheetView showGridLines="0" zoomScale="89" zoomScaleNormal="89" workbookViewId="0">
      <selection activeCell="B6" sqref="B6"/>
    </sheetView>
  </sheetViews>
  <sheetFormatPr baseColWidth="10" defaultRowHeight="12" customHeight="1" outlineLevelCol="1"/>
  <cols>
    <col min="2" max="2" width="47.7109375" customWidth="1"/>
    <col min="3" max="3" width="11.7109375" style="155" customWidth="1"/>
    <col min="4" max="4" width="1.28515625" customWidth="1"/>
    <col min="5" max="5" width="14.7109375" style="180" customWidth="1"/>
    <col min="6" max="6" width="1.28515625" customWidth="1"/>
    <col min="7" max="7" width="14.7109375" customWidth="1"/>
    <col min="8" max="17" width="0" hidden="1" customWidth="1" outlineLevel="1"/>
    <col min="18" max="18" width="42.5703125" bestFit="1" customWidth="1" collapsed="1"/>
    <col min="19" max="19" width="11.42578125" style="180"/>
    <col min="24" max="24" width="33.5703125" customWidth="1"/>
  </cols>
  <sheetData>
    <row r="1" spans="1:24" ht="13.5"/>
    <row r="2" spans="1:24" ht="13.5"/>
    <row r="3" spans="1:24" ht="13.5"/>
    <row r="4" spans="1:24" ht="13.5"/>
    <row r="5" spans="1:24" ht="18.75">
      <c r="B5" s="46" t="str">
        <f>+Datos!C4</f>
        <v>Fideicomiso Irrevocable 4341</v>
      </c>
    </row>
    <row r="6" spans="1:24" ht="18.75">
      <c r="B6" s="46" t="str">
        <f>+Datos!C5</f>
        <v>Fideicomiso FORTMCK 19-12 Lomas Verdes</v>
      </c>
    </row>
    <row r="7" spans="1:24" ht="16.5">
      <c r="B7" s="36"/>
    </row>
    <row r="8" spans="1:24" ht="25.9" customHeight="1">
      <c r="B8" s="37" t="s">
        <v>439</v>
      </c>
    </row>
    <row r="9" spans="1:24" ht="15">
      <c r="B9" s="38" t="str">
        <f>+Datos!C6</f>
        <v>Al 31 de diciembre de 2024 y 2023</v>
      </c>
    </row>
    <row r="10" spans="1:24" ht="15">
      <c r="B10" s="38" t="s">
        <v>283</v>
      </c>
    </row>
    <row r="11" spans="1:24" ht="15">
      <c r="B11" s="38"/>
      <c r="R11" s="184" t="s">
        <v>511</v>
      </c>
      <c r="S11" s="323" t="s">
        <v>512</v>
      </c>
      <c r="T11" s="323"/>
      <c r="U11" s="323"/>
      <c r="V11" s="324" t="s">
        <v>513</v>
      </c>
      <c r="W11" s="324"/>
      <c r="X11" s="325" t="s">
        <v>514</v>
      </c>
    </row>
    <row r="12" spans="1:24" ht="10.15" customHeight="1">
      <c r="B12" s="26" t="s">
        <v>261</v>
      </c>
      <c r="C12" s="70" t="s">
        <v>262</v>
      </c>
      <c r="D12" s="124"/>
      <c r="E12" s="246">
        <f>+Datos!C8</f>
        <v>2024</v>
      </c>
      <c r="F12" s="124"/>
      <c r="G12" s="27">
        <f>+Datos!C9</f>
        <v>2023</v>
      </c>
      <c r="R12" s="185" t="s">
        <v>515</v>
      </c>
      <c r="S12" s="254" t="s">
        <v>516</v>
      </c>
      <c r="T12" s="186" t="s">
        <v>517</v>
      </c>
      <c r="U12" s="187" t="s">
        <v>518</v>
      </c>
      <c r="V12" s="188" t="s">
        <v>519</v>
      </c>
      <c r="W12" s="189" t="s">
        <v>520</v>
      </c>
      <c r="X12" s="325"/>
    </row>
    <row r="13" spans="1:24" ht="10.15" customHeight="1">
      <c r="B13" s="28" t="s">
        <v>263</v>
      </c>
      <c r="C13" s="127"/>
      <c r="D13" s="41"/>
      <c r="E13" s="214"/>
      <c r="F13" s="41"/>
      <c r="G13" s="28"/>
      <c r="T13" s="180">
        <f>+E25*7%</f>
        <v>80793.930000000008</v>
      </c>
    </row>
    <row r="14" spans="1:24" ht="10.15" customHeight="1">
      <c r="B14" s="30" t="s">
        <v>121</v>
      </c>
      <c r="C14" s="127" t="s">
        <v>264</v>
      </c>
      <c r="D14" s="35" t="s">
        <v>356</v>
      </c>
      <c r="E14" s="214">
        <f>+VLOOKUP($B14,Validación!$A$12:$D$39,4,0)</f>
        <v>42719</v>
      </c>
      <c r="F14" s="35" t="s">
        <v>356</v>
      </c>
      <c r="G14" s="35">
        <f>+VLOOKUP($B14,Validación!$A$12:$G$39,6,0)</f>
        <v>46651</v>
      </c>
      <c r="R14" t="s">
        <v>521</v>
      </c>
      <c r="S14" s="180">
        <f>+E14-G14</f>
        <v>-3932</v>
      </c>
      <c r="T14" s="190" t="str">
        <f>IF(E14&gt;$T$13,"Supera","No supera")</f>
        <v>No supera</v>
      </c>
      <c r="U14" s="191"/>
      <c r="V14" s="191" t="s">
        <v>522</v>
      </c>
      <c r="X14" s="149" t="s">
        <v>528</v>
      </c>
    </row>
    <row r="15" spans="1:24" ht="10.15" customHeight="1">
      <c r="B15" s="30" t="s">
        <v>122</v>
      </c>
      <c r="C15" s="127" t="s">
        <v>265</v>
      </c>
      <c r="D15" s="35"/>
      <c r="E15" s="214">
        <f>+VLOOKUP($B15,Validación!$A$12:$D$39,4,0)-'N13 Partes relacionadas'!G17</f>
        <v>24099</v>
      </c>
      <c r="F15" s="35"/>
      <c r="G15" s="35">
        <f>+VLOOKUP($B15,Validación!$A$12:$G$39,6,0)-'N13 Partes relacionadas'!I17</f>
        <v>11046</v>
      </c>
      <c r="T15" s="190"/>
      <c r="U15" s="191"/>
      <c r="V15" s="191"/>
      <c r="X15" s="149"/>
    </row>
    <row r="16" spans="1:24" ht="10.15" customHeight="1">
      <c r="A16" s="149"/>
      <c r="B16" s="30" t="s">
        <v>700</v>
      </c>
      <c r="C16" s="127">
        <v>13</v>
      </c>
      <c r="D16" s="35"/>
      <c r="E16" s="215">
        <f>+'N13 Partes relacionadas'!G17</f>
        <v>943</v>
      </c>
      <c r="F16" s="35"/>
      <c r="G16" s="125">
        <f>+'N13 Partes relacionadas'!I17</f>
        <v>943</v>
      </c>
      <c r="R16" t="s">
        <v>521</v>
      </c>
      <c r="S16" s="255">
        <f>+E16-G16</f>
        <v>0</v>
      </c>
      <c r="T16" s="190" t="str">
        <f>IF(E16&gt;$T$13,"Supera","No supera")</f>
        <v>No supera</v>
      </c>
      <c r="X16" s="149" t="s">
        <v>528</v>
      </c>
    </row>
    <row r="17" spans="1:25" ht="10.15" customHeight="1">
      <c r="B17" s="34" t="s">
        <v>266</v>
      </c>
      <c r="C17" s="127"/>
      <c r="D17" s="35"/>
      <c r="E17" s="214">
        <f>SUM(E14:E16)</f>
        <v>67761</v>
      </c>
      <c r="F17" s="35"/>
      <c r="G17" s="35">
        <f>SUM(G14:G16)</f>
        <v>58640</v>
      </c>
    </row>
    <row r="18" spans="1:25" ht="10.15" customHeight="1">
      <c r="B18" s="28"/>
      <c r="C18" s="127"/>
      <c r="D18" s="35"/>
      <c r="E18" s="214"/>
      <c r="F18" s="35"/>
      <c r="G18" s="35"/>
    </row>
    <row r="19" spans="1:25" ht="10.15" customHeight="1">
      <c r="B19" s="28" t="s">
        <v>267</v>
      </c>
      <c r="C19" s="127"/>
      <c r="D19" s="28"/>
      <c r="E19" s="214"/>
      <c r="F19" s="28"/>
      <c r="G19" s="35"/>
      <c r="X19" s="149" t="s">
        <v>528</v>
      </c>
    </row>
    <row r="20" spans="1:25" ht="10.15" customHeight="1">
      <c r="B20" s="30" t="s">
        <v>709</v>
      </c>
      <c r="C20" s="127" t="s">
        <v>268</v>
      </c>
      <c r="D20" s="35"/>
      <c r="E20" s="214">
        <f>+VLOOKUP(B20,Validación!$A$12:$D$39,4,0)</f>
        <v>1085783</v>
      </c>
      <c r="F20" s="35"/>
      <c r="G20" s="35">
        <f>+VLOOKUP($B20,Validación!$A$12:$G$39,6,0)</f>
        <v>773964</v>
      </c>
      <c r="R20" t="s">
        <v>521</v>
      </c>
      <c r="S20" s="255">
        <f>+E20-G20</f>
        <v>311819</v>
      </c>
      <c r="T20" s="190" t="str">
        <f t="shared" ref="T20:T22" si="0">IF(E20&gt;$T$13,"Supera","No supera")</f>
        <v>Supera</v>
      </c>
      <c r="U20" s="149" t="s">
        <v>523</v>
      </c>
      <c r="V20" s="191" t="s">
        <v>522</v>
      </c>
      <c r="W20" s="192" t="s">
        <v>527</v>
      </c>
      <c r="X20" s="149" t="s">
        <v>528</v>
      </c>
    </row>
    <row r="21" spans="1:25" ht="10.15" customHeight="1">
      <c r="B21" s="30" t="s">
        <v>603</v>
      </c>
      <c r="C21" s="127" t="s">
        <v>269</v>
      </c>
      <c r="D21" s="28"/>
      <c r="E21" s="214">
        <f>+VLOOKUP(B21,Validación!$A$12:$D$39,4,0)</f>
        <v>364</v>
      </c>
      <c r="F21" s="28"/>
      <c r="G21" s="35">
        <f>+VLOOKUP($B21,Validación!$A$12:$G$39,6,0)</f>
        <v>43</v>
      </c>
      <c r="R21" t="s">
        <v>521</v>
      </c>
      <c r="S21" s="255">
        <f>+E21-G21</f>
        <v>321</v>
      </c>
      <c r="T21" s="190" t="str">
        <f t="shared" si="0"/>
        <v>No supera</v>
      </c>
      <c r="X21" s="149" t="s">
        <v>528</v>
      </c>
    </row>
    <row r="22" spans="1:25" ht="10.15" customHeight="1">
      <c r="A22" s="149"/>
      <c r="B22" s="30" t="s">
        <v>123</v>
      </c>
      <c r="C22" s="127"/>
      <c r="D22" s="35"/>
      <c r="E22" s="215">
        <f>+VLOOKUP(B22,Validación!$A$12:$D$39,4,0)</f>
        <v>291</v>
      </c>
      <c r="F22" s="35"/>
      <c r="G22" s="125">
        <f>+VLOOKUP($B22,Validación!$A$12:$G$39,6,0)</f>
        <v>16</v>
      </c>
      <c r="R22" t="s">
        <v>521</v>
      </c>
      <c r="S22" s="255">
        <f>+E22-G22</f>
        <v>275</v>
      </c>
      <c r="T22" s="190" t="str">
        <f t="shared" si="0"/>
        <v>No supera</v>
      </c>
      <c r="U22" s="191"/>
      <c r="V22" s="191" t="s">
        <v>522</v>
      </c>
      <c r="Y22" s="149" t="s">
        <v>529</v>
      </c>
    </row>
    <row r="23" spans="1:25" ht="10.15" customHeight="1">
      <c r="B23" s="34" t="s">
        <v>270</v>
      </c>
      <c r="C23" s="127"/>
      <c r="D23" s="35"/>
      <c r="E23" s="214">
        <f>SUM(E20:E22)</f>
        <v>1086438</v>
      </c>
      <c r="F23" s="35"/>
      <c r="G23" s="35">
        <f>SUM(G20:G22)</f>
        <v>774023</v>
      </c>
    </row>
    <row r="24" spans="1:25" ht="10.15" customHeight="1">
      <c r="B24" s="28"/>
      <c r="C24" s="127"/>
      <c r="D24" s="28"/>
      <c r="E24" s="214"/>
      <c r="F24" s="28"/>
      <c r="G24" s="35"/>
    </row>
    <row r="25" spans="1:25" ht="10.15" customHeight="1" thickBot="1">
      <c r="B25" s="28" t="s">
        <v>271</v>
      </c>
      <c r="C25" s="127"/>
      <c r="D25" s="31" t="s">
        <v>356</v>
      </c>
      <c r="E25" s="233">
        <f>+E17+E23</f>
        <v>1154199</v>
      </c>
      <c r="F25" s="31" t="s">
        <v>356</v>
      </c>
      <c r="G25" s="126">
        <f>+G17+G23</f>
        <v>832663</v>
      </c>
    </row>
    <row r="26" spans="1:25" ht="10.15" customHeight="1" thickTop="1">
      <c r="B26" s="28"/>
      <c r="C26" s="127"/>
      <c r="D26" s="35"/>
      <c r="E26" s="214"/>
      <c r="F26" s="35"/>
      <c r="G26" s="35"/>
    </row>
    <row r="27" spans="1:25" ht="10.15" customHeight="1">
      <c r="B27" s="26" t="s">
        <v>272</v>
      </c>
      <c r="C27" s="70"/>
      <c r="D27" s="70"/>
      <c r="E27" s="214"/>
      <c r="F27" s="70"/>
      <c r="G27" s="35"/>
    </row>
    <row r="28" spans="1:25" ht="10.15" customHeight="1">
      <c r="B28" s="28" t="s">
        <v>273</v>
      </c>
      <c r="C28" s="127"/>
      <c r="D28" s="127"/>
      <c r="E28" s="214"/>
      <c r="F28" s="127"/>
      <c r="G28" s="35"/>
    </row>
    <row r="29" spans="1:25" ht="10.15" customHeight="1">
      <c r="A29" s="149"/>
      <c r="B29" s="30" t="s">
        <v>701</v>
      </c>
      <c r="C29" s="127" t="s">
        <v>722</v>
      </c>
      <c r="D29" s="35" t="s">
        <v>356</v>
      </c>
      <c r="E29" s="214">
        <f>-VLOOKUP(B29,Validación!$A$12:$D$39,4,0)-'N13 Partes relacionadas'!G26</f>
        <v>35778</v>
      </c>
      <c r="F29" s="35" t="s">
        <v>356</v>
      </c>
      <c r="G29" s="35">
        <f>-VLOOKUP(B29,Validación!$A$12:$G$39,6,0)-'N13 Partes relacionadas'!I26</f>
        <v>7357</v>
      </c>
      <c r="R29" t="s">
        <v>521</v>
      </c>
      <c r="S29" s="255">
        <f t="shared" ref="S29:S31" si="1">+E29-G29</f>
        <v>28421</v>
      </c>
      <c r="T29" s="190" t="str">
        <f t="shared" ref="T29:T31" si="2">IF(E29&gt;$T$13,"Supera","No supera")</f>
        <v>No supera</v>
      </c>
      <c r="X29" s="149" t="s">
        <v>528</v>
      </c>
      <c r="Y29" t="s">
        <v>530</v>
      </c>
    </row>
    <row r="30" spans="1:25" ht="10.15" customHeight="1">
      <c r="B30" s="30" t="s">
        <v>702</v>
      </c>
      <c r="C30" s="127">
        <v>13</v>
      </c>
      <c r="D30" s="127"/>
      <c r="E30" s="214">
        <f>+'N13 Partes relacionadas'!G26</f>
        <v>2183</v>
      </c>
      <c r="F30" s="127"/>
      <c r="G30" s="35">
        <f>+'N13 Partes relacionadas'!I26</f>
        <v>5724</v>
      </c>
      <c r="S30" s="255"/>
      <c r="T30" s="190"/>
      <c r="X30" s="149"/>
    </row>
    <row r="31" spans="1:25" ht="10.15" customHeight="1">
      <c r="B31" s="30" t="s">
        <v>126</v>
      </c>
      <c r="C31" s="127"/>
      <c r="D31" s="127"/>
      <c r="E31" s="215">
        <f>-VLOOKUP(B31,Validación!$A$12:$D$39,4,0)</f>
        <v>460</v>
      </c>
      <c r="F31" s="127"/>
      <c r="G31" s="125">
        <f>-VLOOKUP(B31,Validación!$A$12:$G$39,6,0)</f>
        <v>390</v>
      </c>
      <c r="R31" t="s">
        <v>521</v>
      </c>
      <c r="S31" s="255">
        <f t="shared" si="1"/>
        <v>70</v>
      </c>
      <c r="T31" s="190" t="str">
        <f t="shared" si="2"/>
        <v>No supera</v>
      </c>
      <c r="X31" s="149" t="s">
        <v>528</v>
      </c>
    </row>
    <row r="32" spans="1:25" ht="10.15" customHeight="1">
      <c r="B32" s="34" t="s">
        <v>274</v>
      </c>
      <c r="C32" s="127"/>
      <c r="D32" s="127"/>
      <c r="E32" s="214">
        <f>SUM(E29:E31)</f>
        <v>38421</v>
      </c>
      <c r="F32" s="127"/>
      <c r="G32" s="35">
        <f>SUM(G29:G31)</f>
        <v>13471</v>
      </c>
    </row>
    <row r="33" spans="1:24" ht="10.15" customHeight="1">
      <c r="B33" s="28"/>
      <c r="C33" s="127"/>
      <c r="D33" s="127"/>
      <c r="E33" s="214"/>
      <c r="F33" s="127"/>
      <c r="G33" s="35"/>
    </row>
    <row r="34" spans="1:24" ht="10.15" customHeight="1">
      <c r="B34" s="28" t="s">
        <v>275</v>
      </c>
      <c r="C34" s="127"/>
      <c r="D34" s="127"/>
      <c r="E34" s="214"/>
      <c r="F34" s="127"/>
      <c r="G34" s="35"/>
    </row>
    <row r="35" spans="1:24" ht="10.15" customHeight="1">
      <c r="B35" s="30" t="s">
        <v>129</v>
      </c>
      <c r="C35" s="127" t="s">
        <v>723</v>
      </c>
      <c r="D35" s="127"/>
      <c r="E35" s="214">
        <f>-VLOOKUP(B35,Validación!$A$12:$D$39,4,0)</f>
        <v>407950</v>
      </c>
      <c r="F35" s="127"/>
      <c r="G35" s="35">
        <f>-VLOOKUP(B35,Validación!$A$12:$G$39,6,0)</f>
        <v>71045</v>
      </c>
      <c r="S35" s="255">
        <f>+E35-G35</f>
        <v>336905</v>
      </c>
      <c r="T35" s="190" t="str">
        <f t="shared" ref="T35:T37" si="3">IF(E35&gt;$T$13,"Supera","No supera")</f>
        <v>Supera</v>
      </c>
      <c r="U35" s="149" t="s">
        <v>523</v>
      </c>
      <c r="W35" s="192" t="s">
        <v>524</v>
      </c>
      <c r="X35" s="149" t="s">
        <v>528</v>
      </c>
    </row>
    <row r="36" spans="1:24" ht="10.15" customHeight="1">
      <c r="A36" s="149"/>
      <c r="B36" s="30" t="s">
        <v>128</v>
      </c>
      <c r="C36" s="127" t="s">
        <v>724</v>
      </c>
      <c r="D36" s="127"/>
      <c r="E36" s="214">
        <f>-VLOOKUP(B36,Validación!$A$12:$D$39,4,0)</f>
        <v>330000</v>
      </c>
      <c r="F36" s="127"/>
      <c r="G36" s="35">
        <f>-VLOOKUP(B36,Validación!$A$12:$G$39,6,0)</f>
        <v>271000</v>
      </c>
      <c r="R36" t="s">
        <v>521</v>
      </c>
      <c r="S36" s="255">
        <f>+E36-G36</f>
        <v>59000</v>
      </c>
      <c r="T36" s="190" t="str">
        <f t="shared" si="3"/>
        <v>Supera</v>
      </c>
      <c r="U36" s="149" t="s">
        <v>523</v>
      </c>
      <c r="V36" s="191" t="s">
        <v>522</v>
      </c>
      <c r="W36" s="192" t="s">
        <v>525</v>
      </c>
      <c r="X36" s="149" t="s">
        <v>528</v>
      </c>
    </row>
    <row r="37" spans="1:24" ht="10.15" customHeight="1">
      <c r="A37" s="149"/>
      <c r="B37" s="30" t="s">
        <v>285</v>
      </c>
      <c r="C37" s="127" t="s">
        <v>725</v>
      </c>
      <c r="D37" s="127"/>
      <c r="E37" s="215">
        <f>-VLOOKUP(B37,Validación!$A$12:$D$39,4,0)</f>
        <v>125867</v>
      </c>
      <c r="F37" s="127"/>
      <c r="G37" s="125">
        <f>-VLOOKUP(B37,Validación!$A$12:$G$39,6,0)</f>
        <v>196719</v>
      </c>
      <c r="R37" t="s">
        <v>521</v>
      </c>
      <c r="S37" s="255">
        <f>+E37-G37</f>
        <v>-70852</v>
      </c>
      <c r="T37" s="190" t="str">
        <f t="shared" si="3"/>
        <v>Supera</v>
      </c>
      <c r="U37" s="149" t="s">
        <v>523</v>
      </c>
      <c r="V37" s="191" t="s">
        <v>522</v>
      </c>
      <c r="X37" s="149" t="s">
        <v>528</v>
      </c>
    </row>
    <row r="38" spans="1:24" ht="10.15" customHeight="1">
      <c r="B38" s="34" t="s">
        <v>276</v>
      </c>
      <c r="C38" s="127"/>
      <c r="D38" s="127"/>
      <c r="E38" s="214">
        <f>SUM(E35:E37)</f>
        <v>863817</v>
      </c>
      <c r="F38" s="127"/>
      <c r="G38" s="35">
        <f>SUM(G35:G37)</f>
        <v>538764</v>
      </c>
    </row>
    <row r="39" spans="1:24" ht="10.15" customHeight="1">
      <c r="B39" s="28"/>
      <c r="C39" s="127"/>
      <c r="D39" s="127"/>
      <c r="E39" s="214"/>
      <c r="F39" s="127"/>
      <c r="G39" s="35"/>
    </row>
    <row r="40" spans="1:24" ht="10.15" customHeight="1" thickBot="1">
      <c r="B40" s="28" t="s">
        <v>277</v>
      </c>
      <c r="C40" s="127"/>
      <c r="D40" s="35" t="s">
        <v>356</v>
      </c>
      <c r="E40" s="233">
        <f>+E38+E32</f>
        <v>902238</v>
      </c>
      <c r="F40" s="35" t="s">
        <v>356</v>
      </c>
      <c r="G40" s="126">
        <f>+G38+G32</f>
        <v>552235</v>
      </c>
    </row>
    <row r="41" spans="1:24" ht="10.15" customHeight="1" thickTop="1">
      <c r="B41" s="28"/>
      <c r="C41" s="127"/>
      <c r="D41" s="127"/>
      <c r="E41" s="214"/>
      <c r="F41" s="127"/>
      <c r="G41" s="35"/>
    </row>
    <row r="42" spans="1:24" ht="10.15" customHeight="1">
      <c r="B42" s="28" t="s">
        <v>278</v>
      </c>
      <c r="C42" s="70"/>
      <c r="D42" s="70"/>
      <c r="E42" s="214"/>
      <c r="F42" s="70"/>
      <c r="G42" s="35"/>
    </row>
    <row r="43" spans="1:24" ht="10.15" customHeight="1">
      <c r="B43" s="30" t="s">
        <v>130</v>
      </c>
      <c r="C43" s="127" t="s">
        <v>726</v>
      </c>
      <c r="D43" s="35" t="s">
        <v>356</v>
      </c>
      <c r="E43" s="214">
        <f>-VLOOKUP(B43,Validación!$A$12:$D$39,4,0)</f>
        <v>272972</v>
      </c>
      <c r="F43" s="35" t="s">
        <v>356</v>
      </c>
      <c r="G43" s="35">
        <f>-VLOOKUP(B43,Validación!$A$12:$G$39,6,0)</f>
        <v>272972</v>
      </c>
      <c r="R43" t="s">
        <v>521</v>
      </c>
      <c r="S43" s="255">
        <f>+E43-G43</f>
        <v>0</v>
      </c>
      <c r="T43" s="190" t="str">
        <f t="shared" ref="T43:T45" si="4">IF(E43&gt;$T$13,"Supera","No supera")</f>
        <v>Supera</v>
      </c>
      <c r="U43" s="191"/>
      <c r="V43" s="191" t="s">
        <v>522</v>
      </c>
      <c r="W43" s="192" t="s">
        <v>526</v>
      </c>
      <c r="X43" s="149" t="s">
        <v>528</v>
      </c>
    </row>
    <row r="44" spans="1:24" ht="10.15" customHeight="1">
      <c r="B44" s="30" t="s">
        <v>141</v>
      </c>
      <c r="C44" s="127"/>
      <c r="D44" s="127"/>
      <c r="E44" s="45">
        <f>+ER!E25</f>
        <v>-28467</v>
      </c>
      <c r="F44" s="127"/>
      <c r="G44" s="45">
        <f>+ER!G25</f>
        <v>7849</v>
      </c>
      <c r="R44" t="s">
        <v>521</v>
      </c>
      <c r="S44" s="255">
        <f>+E44-G44</f>
        <v>-36316</v>
      </c>
      <c r="T44" s="190" t="str">
        <f t="shared" si="4"/>
        <v>No supera</v>
      </c>
    </row>
    <row r="45" spans="1:24" ht="10.15" customHeight="1">
      <c r="B45" s="30" t="s">
        <v>131</v>
      </c>
      <c r="C45" s="127"/>
      <c r="D45" s="127"/>
      <c r="E45" s="215">
        <f>-VLOOKUP(B45,Validación!$A$12:$D$39,4,0)</f>
        <v>7456</v>
      </c>
      <c r="F45" s="127"/>
      <c r="G45" s="125">
        <f>-VLOOKUP(B45,Validación!$A$12:$G$39,6,0)+1</f>
        <v>-393</v>
      </c>
      <c r="R45" t="s">
        <v>521</v>
      </c>
      <c r="S45" s="255">
        <f>+E45-G45</f>
        <v>7849</v>
      </c>
      <c r="T45" s="190" t="str">
        <f t="shared" si="4"/>
        <v>No supera</v>
      </c>
    </row>
    <row r="46" spans="1:24" ht="10.15" customHeight="1">
      <c r="B46" s="34" t="s">
        <v>279</v>
      </c>
      <c r="C46" s="127"/>
      <c r="D46" s="127"/>
      <c r="E46" s="214">
        <f>SUM(E43:E45)</f>
        <v>251961</v>
      </c>
      <c r="F46" s="127"/>
      <c r="G46" s="35">
        <f>SUM(G43:G45)</f>
        <v>280428</v>
      </c>
    </row>
    <row r="47" spans="1:24" ht="10.15" customHeight="1">
      <c r="B47" s="28"/>
      <c r="C47" s="127"/>
      <c r="D47" s="127"/>
      <c r="E47" s="214"/>
      <c r="F47" s="127"/>
      <c r="G47" s="35"/>
    </row>
    <row r="48" spans="1:24" ht="10.15" customHeight="1" thickBot="1">
      <c r="B48" s="28" t="s">
        <v>280</v>
      </c>
      <c r="C48" s="127"/>
      <c r="D48" s="35" t="s">
        <v>356</v>
      </c>
      <c r="E48" s="233">
        <f>+E46+E40</f>
        <v>1154199</v>
      </c>
      <c r="F48" s="35" t="s">
        <v>356</v>
      </c>
      <c r="G48" s="126">
        <f>+G46+G40</f>
        <v>832663</v>
      </c>
    </row>
    <row r="49" spans="2:19" ht="10.15" customHeight="1" thickTop="1">
      <c r="B49" s="39"/>
    </row>
    <row r="50" spans="2:19" ht="10.15" customHeight="1">
      <c r="B50" s="39"/>
      <c r="R50" s="179"/>
    </row>
    <row r="51" spans="2:19" ht="10.15" customHeight="1">
      <c r="B51" s="39" t="s">
        <v>284</v>
      </c>
    </row>
    <row r="52" spans="2:19" ht="10.15" customHeight="1">
      <c r="E52" s="209">
        <f>+E48-E25</f>
        <v>0</v>
      </c>
      <c r="F52" s="209"/>
      <c r="G52" s="209">
        <f>+G48-G25</f>
        <v>0</v>
      </c>
      <c r="H52" s="236"/>
      <c r="I52" s="230"/>
      <c r="J52" s="230"/>
      <c r="K52" s="230"/>
      <c r="L52" s="230"/>
      <c r="M52" s="230"/>
      <c r="N52" s="230"/>
      <c r="O52" s="230"/>
      <c r="P52" s="230"/>
      <c r="Q52" s="230"/>
      <c r="R52" s="230" t="s">
        <v>555</v>
      </c>
    </row>
    <row r="53" spans="2:19" ht="10.15" customHeight="1">
      <c r="H53" s="21"/>
    </row>
    <row r="54" spans="2:19" ht="10.15" customHeight="1"/>
    <row r="58" spans="2:19" s="155" customFormat="1" ht="12" customHeight="1">
      <c r="E58" s="245"/>
      <c r="S58" s="245"/>
    </row>
    <row r="66" spans="4:19" s="155" customFormat="1" ht="12" customHeight="1">
      <c r="E66" s="245"/>
      <c r="S66" s="245"/>
    </row>
    <row r="73" spans="4:19" ht="12" customHeight="1">
      <c r="D73" s="35"/>
      <c r="F73" s="35"/>
    </row>
    <row r="74" spans="4:19" ht="12" customHeight="1">
      <c r="D74" s="35"/>
      <c r="F74" s="35"/>
    </row>
    <row r="75" spans="4:19" ht="12" customHeight="1">
      <c r="F75" s="35"/>
    </row>
  </sheetData>
  <mergeCells count="3">
    <mergeCell ref="S11:U11"/>
    <mergeCell ref="V11:W11"/>
    <mergeCell ref="X11:X12"/>
  </mergeCells>
  <conditionalFormatting sqref="T14:T16 T29:T31">
    <cfRule type="containsText" dxfId="11" priority="13" operator="containsText" text="No supera">
      <formula>NOT(ISERROR(SEARCH("No supera",T14)))</formula>
    </cfRule>
    <cfRule type="containsText" dxfId="10" priority="14" operator="containsText" text="Supera">
      <formula>NOT(ISERROR(SEARCH("Supera",T14)))</formula>
    </cfRule>
    <cfRule type="containsText" dxfId="9" priority="15" operator="containsText" text="supera">
      <formula>NOT(ISERROR(SEARCH("supera",T14)))</formula>
    </cfRule>
  </conditionalFormatting>
  <conditionalFormatting sqref="T20:T22">
    <cfRule type="containsText" dxfId="8" priority="10" operator="containsText" text="No supera">
      <formula>NOT(ISERROR(SEARCH("No supera",T20)))</formula>
    </cfRule>
    <cfRule type="containsText" dxfId="7" priority="11" operator="containsText" text="Supera">
      <formula>NOT(ISERROR(SEARCH("Supera",T20)))</formula>
    </cfRule>
    <cfRule type="containsText" dxfId="6" priority="12" operator="containsText" text="supera">
      <formula>NOT(ISERROR(SEARCH("supera",T20)))</formula>
    </cfRule>
  </conditionalFormatting>
  <conditionalFormatting sqref="T35:T37">
    <cfRule type="containsText" dxfId="5" priority="4" operator="containsText" text="No supera">
      <formula>NOT(ISERROR(SEARCH("No supera",T35)))</formula>
    </cfRule>
    <cfRule type="containsText" dxfId="4" priority="5" operator="containsText" text="Supera">
      <formula>NOT(ISERROR(SEARCH("Supera",T35)))</formula>
    </cfRule>
    <cfRule type="containsText" dxfId="3" priority="6" operator="containsText" text="supera">
      <formula>NOT(ISERROR(SEARCH("supera",T35)))</formula>
    </cfRule>
  </conditionalFormatting>
  <conditionalFormatting sqref="T43:T45">
    <cfRule type="containsText" dxfId="2" priority="1" operator="containsText" text="No supera">
      <formula>NOT(ISERROR(SEARCH("No supera",T43)))</formula>
    </cfRule>
    <cfRule type="containsText" dxfId="1" priority="2" operator="containsText" text="Supera">
      <formula>NOT(ISERROR(SEARCH("Supera",T43)))</formula>
    </cfRule>
    <cfRule type="containsText" dxfId="0" priority="3" operator="containsText" text="supera">
      <formula>NOT(ISERROR(SEARCH("supera",T43)))</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8E80-73C1-4779-ACDD-199F52D01456}">
  <sheetPr codeName="Hoja9"/>
  <dimension ref="B1:U47"/>
  <sheetViews>
    <sheetView showGridLines="0" topLeftCell="A3" zoomScale="90" zoomScaleNormal="90" workbookViewId="0">
      <selection activeCell="B5" sqref="B5:G30"/>
    </sheetView>
  </sheetViews>
  <sheetFormatPr baseColWidth="10" defaultRowHeight="12" customHeight="1" outlineLevelCol="1"/>
  <cols>
    <col min="2" max="2" width="47.7109375" customWidth="1"/>
    <col min="3" max="3" width="11.7109375" style="155" customWidth="1"/>
    <col min="4" max="4" width="1.28515625" style="95" customWidth="1"/>
    <col min="5" max="5" width="14.7109375" customWidth="1"/>
    <col min="6" max="6" width="1.28515625" style="95" customWidth="1"/>
    <col min="7" max="7" width="14.7109375" customWidth="1"/>
    <col min="8" max="17" width="0" hidden="1" customWidth="1" outlineLevel="1"/>
    <col min="18" max="18" width="42.5703125" bestFit="1" customWidth="1" collapsed="1"/>
  </cols>
  <sheetData>
    <row r="1" spans="2:21" ht="13.5"/>
    <row r="2" spans="2:21" ht="13.5"/>
    <row r="3" spans="2:21" ht="13.5"/>
    <row r="4" spans="2:21" ht="13.5"/>
    <row r="5" spans="2:21" ht="18" customHeight="1">
      <c r="B5" s="46" t="str">
        <f>+Datos!C4</f>
        <v>Fideicomiso Irrevocable 4341</v>
      </c>
      <c r="D5" s="115"/>
    </row>
    <row r="6" spans="2:21" ht="18" customHeight="1">
      <c r="B6" s="46" t="str">
        <f>+Datos!C5</f>
        <v>Fideicomiso FORTMCK 19-12 Lomas Verdes</v>
      </c>
      <c r="D6" s="115"/>
    </row>
    <row r="7" spans="2:21" ht="10.15" customHeight="1">
      <c r="B7" s="36"/>
      <c r="D7" s="135"/>
    </row>
    <row r="8" spans="2:21" ht="25.9" customHeight="1">
      <c r="B8" s="37" t="s">
        <v>440</v>
      </c>
      <c r="D8" s="136"/>
    </row>
    <row r="9" spans="2:21" ht="10.15" customHeight="1">
      <c r="B9" s="38" t="str">
        <f>+Datos!C7</f>
        <v>Por los ejercicios terminados al 31 de diciembre de 2024 y 2023</v>
      </c>
      <c r="D9" s="64"/>
    </row>
    <row r="10" spans="2:21" ht="10.15" customHeight="1">
      <c r="B10" s="38" t="s">
        <v>283</v>
      </c>
      <c r="D10" s="64"/>
    </row>
    <row r="11" spans="2:21" ht="10.15" customHeight="1">
      <c r="B11" s="38"/>
      <c r="D11" s="64"/>
      <c r="R11" s="184" t="s">
        <v>511</v>
      </c>
      <c r="S11" s="323" t="s">
        <v>512</v>
      </c>
      <c r="T11" s="323"/>
      <c r="U11" s="323"/>
    </row>
    <row r="12" spans="2:21" ht="10.15" customHeight="1">
      <c r="B12" s="40"/>
      <c r="C12" s="70" t="s">
        <v>262</v>
      </c>
      <c r="D12" s="130"/>
      <c r="E12" s="27">
        <f>+Datos!C8</f>
        <v>2024</v>
      </c>
      <c r="F12" s="27"/>
      <c r="G12" s="27">
        <f>+Datos!C9</f>
        <v>2023</v>
      </c>
      <c r="R12" s="185" t="s">
        <v>515</v>
      </c>
      <c r="S12" s="186" t="s">
        <v>516</v>
      </c>
      <c r="T12" s="186" t="s">
        <v>517</v>
      </c>
      <c r="U12" s="187" t="s">
        <v>518</v>
      </c>
    </row>
    <row r="13" spans="2:21" ht="10.15" customHeight="1">
      <c r="B13" s="40"/>
      <c r="C13" s="127"/>
      <c r="D13" s="130"/>
      <c r="E13" s="40"/>
      <c r="F13" s="130"/>
      <c r="G13" s="40"/>
      <c r="T13">
        <f>+BG!E25*7%</f>
        <v>80793.930000000008</v>
      </c>
    </row>
    <row r="14" spans="2:21" ht="10.15" customHeight="1">
      <c r="B14" s="32" t="s">
        <v>133</v>
      </c>
      <c r="C14" s="127"/>
      <c r="D14" s="131" t="s">
        <v>356</v>
      </c>
      <c r="E14" s="291">
        <f>-VLOOKUP(B14,Validación!$A$12:$D$39,4,0)</f>
        <v>0</v>
      </c>
      <c r="F14" s="131" t="s">
        <v>356</v>
      </c>
      <c r="G14" s="291">
        <f>-VLOOKUP(B14,Validación!$A$12:$G$39,6,0)</f>
        <v>5463</v>
      </c>
      <c r="S14" s="193">
        <f>+E14-G14</f>
        <v>-5463</v>
      </c>
      <c r="T14" t="str">
        <f>IF(E14&gt;$T$13,"Supera","No supera")</f>
        <v>No supera</v>
      </c>
    </row>
    <row r="15" spans="2:21" ht="10.15" customHeight="1">
      <c r="B15" s="40"/>
      <c r="C15" s="127"/>
      <c r="D15" s="130"/>
      <c r="E15" s="292"/>
      <c r="F15" s="123"/>
      <c r="G15" s="292"/>
    </row>
    <row r="16" spans="2:21" ht="10.15" customHeight="1">
      <c r="B16" s="30" t="s">
        <v>288</v>
      </c>
      <c r="C16" s="127" t="s">
        <v>720</v>
      </c>
      <c r="D16" s="29"/>
      <c r="E16" s="261">
        <f>VLOOKUP(B16,Validación!$A$12:$D$39,4,0)</f>
        <v>36492</v>
      </c>
      <c r="F16" s="132"/>
      <c r="G16" s="261">
        <f>VLOOKUP(B16,Validación!$A$12:$G$39,6,0)</f>
        <v>59</v>
      </c>
      <c r="S16" s="193">
        <f>+E16-G16</f>
        <v>36433</v>
      </c>
      <c r="T16" t="str">
        <f>IF(E16&gt;$T$13,"Supera","No supera")</f>
        <v>No supera</v>
      </c>
    </row>
    <row r="17" spans="2:20" ht="10.15" customHeight="1">
      <c r="B17" s="42" t="s">
        <v>289</v>
      </c>
      <c r="C17" s="127"/>
      <c r="D17" s="29"/>
      <c r="E17" s="258">
        <f>+E14-E16</f>
        <v>-36492</v>
      </c>
      <c r="F17" s="131"/>
      <c r="G17" s="258">
        <f>+G14-G16</f>
        <v>5404</v>
      </c>
    </row>
    <row r="18" spans="2:20" ht="10.15" customHeight="1">
      <c r="B18" s="40"/>
      <c r="C18" s="127"/>
      <c r="D18" s="130"/>
      <c r="E18" s="292"/>
      <c r="F18" s="123"/>
      <c r="G18" s="292"/>
    </row>
    <row r="19" spans="2:20" ht="10.15" customHeight="1">
      <c r="B19" s="28" t="s">
        <v>290</v>
      </c>
      <c r="C19" s="127"/>
      <c r="D19" s="29"/>
      <c r="E19" s="292"/>
      <c r="F19" s="123"/>
      <c r="G19" s="292"/>
    </row>
    <row r="20" spans="2:20" ht="10.15" customHeight="1">
      <c r="B20" s="32" t="s">
        <v>291</v>
      </c>
      <c r="C20" s="127"/>
      <c r="D20" s="29"/>
      <c r="E20" s="258">
        <f>-VLOOKUP(B20,Validación!$A$12:$D$39,4,0)</f>
        <v>-21</v>
      </c>
      <c r="F20" s="131"/>
      <c r="G20" s="258">
        <f>-VLOOKUP(B20,Validación!$A$12:$G$39,6,0)</f>
        <v>-11</v>
      </c>
      <c r="S20" s="193">
        <f t="shared" ref="S20:S22" si="0">+E20-G20</f>
        <v>-10</v>
      </c>
      <c r="T20" t="str">
        <f t="shared" ref="T20:T22" si="1">IF(E20&gt;$T$13,"Supera","No supera")</f>
        <v>No supera</v>
      </c>
    </row>
    <row r="21" spans="2:20" ht="10.15" customHeight="1">
      <c r="B21" s="32" t="s">
        <v>132</v>
      </c>
      <c r="C21" s="127"/>
      <c r="D21" s="29"/>
      <c r="E21" s="291">
        <f>-VLOOKUP(B21,Validación!$A$12:$D$39,4,0)</f>
        <v>8050</v>
      </c>
      <c r="F21" s="133"/>
      <c r="G21" s="258">
        <f>-VLOOKUP(B21,Validación!$A$12:$G$39,6,0)</f>
        <v>2456</v>
      </c>
      <c r="S21" s="193">
        <f t="shared" si="0"/>
        <v>5594</v>
      </c>
      <c r="T21" t="str">
        <f t="shared" si="1"/>
        <v>No supera</v>
      </c>
    </row>
    <row r="22" spans="2:20" ht="10.15" customHeight="1">
      <c r="B22" s="32" t="s">
        <v>597</v>
      </c>
      <c r="C22" s="127"/>
      <c r="D22" s="29"/>
      <c r="E22" s="261">
        <f>-VLOOKUP(B22,Validación!$A$12:$D$39,4,0)</f>
        <v>-4</v>
      </c>
      <c r="F22" s="134"/>
      <c r="G22" s="293">
        <f>-VLOOKUP(B22,Validación!$A$12:$G$39,6,0)</f>
        <v>0</v>
      </c>
      <c r="S22" s="193">
        <f t="shared" si="0"/>
        <v>-4</v>
      </c>
      <c r="T22" t="str">
        <f t="shared" si="1"/>
        <v>No supera</v>
      </c>
    </row>
    <row r="23" spans="2:20" ht="10.15" customHeight="1">
      <c r="B23" s="40"/>
      <c r="C23" s="127"/>
      <c r="D23" s="130"/>
      <c r="E23" s="261">
        <f>SUM(E20:E22)</f>
        <v>8025</v>
      </c>
      <c r="F23" s="134"/>
      <c r="G23" s="261">
        <f>SUM(G20:G22)</f>
        <v>2445</v>
      </c>
    </row>
    <row r="24" spans="2:20" ht="10.15" customHeight="1">
      <c r="B24" s="40"/>
      <c r="C24" s="127"/>
      <c r="D24" s="130"/>
      <c r="E24" s="258"/>
      <c r="F24" s="131"/>
      <c r="G24" s="258"/>
    </row>
    <row r="25" spans="2:20" ht="10.15" customHeight="1" thickBot="1">
      <c r="B25" s="28" t="s">
        <v>141</v>
      </c>
      <c r="C25" s="127"/>
      <c r="D25" s="131" t="s">
        <v>356</v>
      </c>
      <c r="E25" s="294">
        <f>+E17+E23</f>
        <v>-28467</v>
      </c>
      <c r="F25" s="131" t="s">
        <v>356</v>
      </c>
      <c r="G25" s="294">
        <f>+G17+G23</f>
        <v>7849</v>
      </c>
    </row>
    <row r="26" spans="2:20" ht="10.15" customHeight="1" thickTop="1">
      <c r="B26" s="43"/>
      <c r="C26" s="70"/>
      <c r="D26" s="137"/>
    </row>
    <row r="27" spans="2:20" ht="10.15" customHeight="1">
      <c r="B27" s="39"/>
      <c r="C27" s="127"/>
      <c r="D27" s="137"/>
    </row>
    <row r="28" spans="2:20" ht="10.15" customHeight="1">
      <c r="B28" s="39"/>
      <c r="C28" s="127"/>
      <c r="D28" s="137"/>
    </row>
    <row r="29" spans="2:20" ht="10.15" customHeight="1">
      <c r="B29" s="39"/>
      <c r="C29" s="127"/>
      <c r="D29" s="137"/>
    </row>
    <row r="30" spans="2:20" ht="10.15" customHeight="1">
      <c r="B30" s="39" t="s">
        <v>284</v>
      </c>
      <c r="C30" s="127"/>
      <c r="D30" s="137"/>
    </row>
    <row r="31" spans="2:20" ht="12" customHeight="1">
      <c r="C31" s="127"/>
    </row>
    <row r="32" spans="2:20" ht="12" customHeight="1">
      <c r="C32" s="127"/>
    </row>
    <row r="33" spans="3:3" ht="12" customHeight="1">
      <c r="C33" s="127"/>
    </row>
    <row r="34" spans="3:3" ht="12" customHeight="1">
      <c r="C34" s="127"/>
    </row>
    <row r="35" spans="3:3" ht="12" customHeight="1">
      <c r="C35" s="127"/>
    </row>
    <row r="36" spans="3:3" ht="12" customHeight="1">
      <c r="C36" s="127"/>
    </row>
    <row r="37" spans="3:3" ht="12" customHeight="1">
      <c r="C37" s="127"/>
    </row>
    <row r="38" spans="3:3" ht="12" customHeight="1">
      <c r="C38" s="127"/>
    </row>
    <row r="39" spans="3:3" ht="12" customHeight="1">
      <c r="C39" s="127"/>
    </row>
    <row r="40" spans="3:3" ht="12" customHeight="1">
      <c r="C40" s="127"/>
    </row>
    <row r="41" spans="3:3" ht="12" customHeight="1">
      <c r="C41" s="70"/>
    </row>
    <row r="42" spans="3:3" ht="12" customHeight="1">
      <c r="C42" s="127"/>
    </row>
    <row r="43" spans="3:3" ht="12" customHeight="1">
      <c r="C43" s="127"/>
    </row>
    <row r="44" spans="3:3" ht="12" customHeight="1">
      <c r="C44" s="127"/>
    </row>
    <row r="45" spans="3:3" ht="12" customHeight="1">
      <c r="C45" s="127"/>
    </row>
    <row r="46" spans="3:3" ht="12" customHeight="1">
      <c r="C46" s="127"/>
    </row>
    <row r="47" spans="3:3" ht="12" customHeight="1">
      <c r="C47" s="127"/>
    </row>
  </sheetData>
  <mergeCells count="1">
    <mergeCell ref="S11:U1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ACDA-210A-4F36-B4B8-6699A2B1C000}">
  <sheetPr codeName="Hoja10"/>
  <dimension ref="B1:L39"/>
  <sheetViews>
    <sheetView showGridLines="0" topLeftCell="A6" zoomScaleNormal="100" workbookViewId="0">
      <selection activeCell="B7" sqref="B7:J36"/>
    </sheetView>
  </sheetViews>
  <sheetFormatPr baseColWidth="10" defaultRowHeight="12" customHeight="1"/>
  <cols>
    <col min="1" max="1" width="5" style="47" customWidth="1"/>
    <col min="2" max="2" width="53.7109375" style="47" customWidth="1"/>
    <col min="3" max="3" width="1.28515625" style="47" customWidth="1"/>
    <col min="4" max="4" width="15" style="227" customWidth="1"/>
    <col min="5" max="5" width="1.28515625" style="227" customWidth="1"/>
    <col min="6" max="6" width="15" style="227" customWidth="1"/>
    <col min="7" max="7" width="1.28515625" style="227" customWidth="1"/>
    <col min="8" max="8" width="15" style="227" customWidth="1"/>
    <col min="9" max="9" width="1.28515625" style="227" customWidth="1"/>
    <col min="10" max="10" width="15" style="227" customWidth="1"/>
    <col min="11" max="12" width="14.5703125" style="47" customWidth="1"/>
    <col min="13" max="16384" width="11.42578125" style="47"/>
  </cols>
  <sheetData>
    <row r="1" spans="2:10" ht="15"/>
    <row r="2" spans="2:10" ht="15"/>
    <row r="3" spans="2:10" ht="15"/>
    <row r="4" spans="2:10" ht="15"/>
    <row r="5" spans="2:10" ht="15">
      <c r="B5" s="264"/>
      <c r="C5" s="264"/>
      <c r="E5" s="270"/>
      <c r="G5" s="270"/>
      <c r="I5" s="270"/>
    </row>
    <row r="6" spans="2:10" ht="15">
      <c r="B6" s="264"/>
      <c r="C6" s="264"/>
      <c r="E6" s="270"/>
      <c r="G6" s="270"/>
      <c r="I6" s="270"/>
    </row>
    <row r="7" spans="2:10" ht="18" customHeight="1">
      <c r="B7" s="46" t="str">
        <f>ER!B5</f>
        <v>Fideicomiso Irrevocable 4341</v>
      </c>
      <c r="C7" s="264"/>
      <c r="E7" s="270"/>
      <c r="G7" s="270"/>
      <c r="I7" s="270"/>
    </row>
    <row r="8" spans="2:10" ht="18" customHeight="1">
      <c r="B8" s="46" t="str">
        <f>ER!B6</f>
        <v>Fideicomiso FORTMCK 19-12 Lomas Verdes</v>
      </c>
      <c r="C8" s="264"/>
      <c r="E8" s="270"/>
      <c r="G8" s="270"/>
      <c r="I8" s="270"/>
    </row>
    <row r="9" spans="2:10" ht="10.15" customHeight="1">
      <c r="B9" s="36"/>
      <c r="C9" s="271"/>
      <c r="E9" s="272"/>
      <c r="G9" s="272"/>
      <c r="I9" s="272"/>
    </row>
    <row r="10" spans="2:10" ht="25.9" customHeight="1">
      <c r="B10" s="37" t="s">
        <v>294</v>
      </c>
      <c r="C10" s="38"/>
      <c r="E10" s="234"/>
      <c r="G10" s="234"/>
      <c r="I10" s="234"/>
    </row>
    <row r="11" spans="2:10" ht="10.15" customHeight="1">
      <c r="B11" s="38" t="str">
        <f>ER!B9</f>
        <v>Por los ejercicios terminados al 31 de diciembre de 2024 y 2023</v>
      </c>
      <c r="C11" s="38"/>
      <c r="E11" s="234"/>
      <c r="G11" s="234"/>
      <c r="I11" s="234"/>
    </row>
    <row r="12" spans="2:10" ht="10.15" customHeight="1">
      <c r="B12" s="38" t="str">
        <f>ER!B10</f>
        <v xml:space="preserve"> (En miles de pesos)</v>
      </c>
      <c r="C12" s="38"/>
      <c r="E12" s="234"/>
      <c r="G12" s="234"/>
      <c r="I12" s="234"/>
    </row>
    <row r="13" spans="2:10" ht="10.15" customHeight="1">
      <c r="B13" s="39"/>
      <c r="C13" s="39"/>
      <c r="E13" s="232"/>
      <c r="G13" s="232"/>
      <c r="I13" s="232"/>
    </row>
    <row r="14" spans="2:10" ht="10.15" customHeight="1">
      <c r="B14" s="39"/>
      <c r="C14" s="39"/>
      <c r="E14" s="232"/>
      <c r="G14" s="232"/>
      <c r="I14" s="232"/>
    </row>
    <row r="15" spans="2:10" ht="7.9" customHeight="1">
      <c r="B15" s="326"/>
      <c r="D15" s="327" t="s">
        <v>295</v>
      </c>
      <c r="F15" s="327" t="s">
        <v>131</v>
      </c>
      <c r="H15" s="327" t="s">
        <v>141</v>
      </c>
      <c r="J15" s="273" t="s">
        <v>296</v>
      </c>
    </row>
    <row r="16" spans="2:10" ht="7.9" customHeight="1">
      <c r="B16" s="326"/>
      <c r="D16" s="327"/>
      <c r="F16" s="327"/>
      <c r="H16" s="327"/>
      <c r="J16" s="273" t="s">
        <v>297</v>
      </c>
    </row>
    <row r="17" spans="2:12" ht="7.9" customHeight="1">
      <c r="B17" s="39"/>
      <c r="C17" s="39"/>
      <c r="D17" s="232"/>
      <c r="E17" s="232"/>
      <c r="F17" s="232"/>
      <c r="G17" s="232"/>
      <c r="H17" s="232"/>
      <c r="I17" s="232"/>
      <c r="J17" s="232"/>
    </row>
    <row r="18" spans="2:12" ht="7.9" customHeight="1">
      <c r="B18" s="28" t="str">
        <f>+CONCATENATE("Saldo al 31 de diciembre ",Datos!C9-1)</f>
        <v>Saldo al 31 de diciembre 2022</v>
      </c>
      <c r="C18" s="137" t="s">
        <v>356</v>
      </c>
      <c r="D18" s="214">
        <f>+D26-D21</f>
        <v>272972</v>
      </c>
      <c r="E18" s="232" t="s">
        <v>356</v>
      </c>
      <c r="F18" s="45">
        <v>-101</v>
      </c>
      <c r="G18" s="232" t="s">
        <v>356</v>
      </c>
      <c r="H18" s="45">
        <f>-H21</f>
        <v>-292</v>
      </c>
      <c r="I18" s="232" t="s">
        <v>356</v>
      </c>
      <c r="J18" s="214">
        <f>SUM(D18:H18)</f>
        <v>272579</v>
      </c>
    </row>
    <row r="19" spans="2:12" ht="7.9" customHeight="1">
      <c r="B19" s="28"/>
      <c r="C19" s="39"/>
      <c r="D19" s="232"/>
      <c r="E19" s="232"/>
      <c r="F19" s="232"/>
      <c r="G19" s="232"/>
      <c r="H19" s="232"/>
      <c r="I19" s="232"/>
      <c r="J19" s="232"/>
    </row>
    <row r="20" spans="2:12" ht="7.9" customHeight="1">
      <c r="B20" s="28" t="s">
        <v>298</v>
      </c>
      <c r="C20" s="39"/>
      <c r="D20" s="232"/>
      <c r="E20" s="232"/>
      <c r="F20" s="232"/>
      <c r="G20" s="232"/>
      <c r="H20" s="232"/>
      <c r="I20" s="232"/>
      <c r="J20" s="232"/>
    </row>
    <row r="21" spans="2:12" ht="7.9" customHeight="1">
      <c r="B21" s="28" t="s">
        <v>299</v>
      </c>
      <c r="C21" s="39"/>
      <c r="D21" s="214">
        <v>0</v>
      </c>
      <c r="E21" s="232"/>
      <c r="F21" s="45">
        <f>-H21</f>
        <v>-292</v>
      </c>
      <c r="G21" s="232"/>
      <c r="H21" s="214">
        <f>-Datos!C11</f>
        <v>292</v>
      </c>
      <c r="I21" s="232"/>
      <c r="J21" s="214">
        <f>SUM(D21:H21)</f>
        <v>0</v>
      </c>
    </row>
    <row r="22" spans="2:12" ht="7.9" customHeight="1">
      <c r="B22" s="28"/>
      <c r="C22" s="39"/>
      <c r="D22" s="232"/>
      <c r="E22" s="232"/>
      <c r="F22" s="232"/>
      <c r="G22" s="232"/>
      <c r="H22" s="232"/>
      <c r="I22" s="232"/>
      <c r="J22" s="232"/>
    </row>
    <row r="23" spans="2:12" ht="7.9" customHeight="1">
      <c r="B23" s="28" t="s">
        <v>300</v>
      </c>
      <c r="C23" s="39"/>
      <c r="D23" s="268"/>
      <c r="E23" s="268"/>
      <c r="F23" s="268"/>
      <c r="G23" s="268"/>
      <c r="H23" s="268"/>
      <c r="I23" s="268"/>
      <c r="J23" s="268"/>
    </row>
    <row r="24" spans="2:12" ht="7.9" customHeight="1">
      <c r="B24" s="28" t="s">
        <v>141</v>
      </c>
      <c r="C24" s="39"/>
      <c r="D24" s="215">
        <v>0</v>
      </c>
      <c r="E24" s="232"/>
      <c r="F24" s="215">
        <v>0</v>
      </c>
      <c r="G24" s="232"/>
      <c r="H24" s="235">
        <f>+BG!G44</f>
        <v>7849</v>
      </c>
      <c r="I24" s="232"/>
      <c r="J24" s="235">
        <f>+H24</f>
        <v>7849</v>
      </c>
      <c r="L24" s="269"/>
    </row>
    <row r="25" spans="2:12" ht="7.9" customHeight="1">
      <c r="B25" s="28"/>
      <c r="C25" s="39"/>
      <c r="D25" s="232"/>
      <c r="E25" s="232"/>
      <c r="F25" s="232"/>
      <c r="G25" s="232"/>
      <c r="H25" s="232"/>
      <c r="I25" s="232"/>
      <c r="J25" s="268"/>
    </row>
    <row r="26" spans="2:12" ht="7.9" customHeight="1">
      <c r="B26" s="28" t="str">
        <f>+CONCATENATE("Saldo al 31 de diciembre ",Datos!C9)</f>
        <v>Saldo al 31 de diciembre 2023</v>
      </c>
      <c r="C26" s="137" t="s">
        <v>356</v>
      </c>
      <c r="D26" s="214">
        <f>+BG!G43</f>
        <v>272972</v>
      </c>
      <c r="E26" s="232" t="s">
        <v>356</v>
      </c>
      <c r="F26" s="45">
        <f>+F21+F18</f>
        <v>-393</v>
      </c>
      <c r="G26" s="232" t="s">
        <v>356</v>
      </c>
      <c r="H26" s="214">
        <f>+H24+H21+H18</f>
        <v>7849</v>
      </c>
      <c r="I26" s="232" t="s">
        <v>356</v>
      </c>
      <c r="J26" s="214">
        <f>SUM(D26:H26)</f>
        <v>280428</v>
      </c>
    </row>
    <row r="27" spans="2:12" ht="7.9" customHeight="1">
      <c r="B27" s="28"/>
      <c r="C27" s="39"/>
      <c r="D27" s="232"/>
      <c r="E27" s="232"/>
      <c r="F27" s="232"/>
      <c r="G27" s="232"/>
      <c r="H27" s="232"/>
      <c r="I27" s="232"/>
      <c r="J27" s="232"/>
    </row>
    <row r="28" spans="2:12" ht="7.9" customHeight="1">
      <c r="B28" s="28" t="s">
        <v>298</v>
      </c>
      <c r="C28" s="39"/>
      <c r="D28" s="232"/>
      <c r="E28" s="232"/>
      <c r="F28" s="232"/>
      <c r="G28" s="232"/>
      <c r="H28" s="232"/>
      <c r="I28" s="232"/>
      <c r="J28" s="232"/>
    </row>
    <row r="29" spans="2:12" ht="7.9" customHeight="1">
      <c r="B29" s="28" t="s">
        <v>299</v>
      </c>
      <c r="C29" s="39"/>
      <c r="D29" s="214">
        <v>0</v>
      </c>
      <c r="E29" s="232"/>
      <c r="F29" s="214">
        <f>-H29</f>
        <v>7849</v>
      </c>
      <c r="G29" s="232"/>
      <c r="H29" s="45">
        <f>-H26</f>
        <v>-7849</v>
      </c>
      <c r="I29" s="232"/>
      <c r="J29" s="214">
        <f>SUM(D29:H29)</f>
        <v>0</v>
      </c>
    </row>
    <row r="30" spans="2:12" ht="7.9" customHeight="1">
      <c r="B30" s="28"/>
      <c r="C30" s="39"/>
      <c r="D30" s="232"/>
      <c r="E30" s="232"/>
      <c r="F30" s="232"/>
      <c r="G30" s="232"/>
      <c r="H30" s="232"/>
      <c r="I30" s="232"/>
      <c r="J30" s="232"/>
    </row>
    <row r="31" spans="2:12" ht="7.9" customHeight="1">
      <c r="B31" s="28" t="s">
        <v>300</v>
      </c>
      <c r="C31" s="39"/>
      <c r="D31" s="268"/>
      <c r="E31" s="268"/>
      <c r="F31" s="268"/>
      <c r="G31" s="268"/>
      <c r="H31" s="268"/>
      <c r="I31" s="268"/>
      <c r="J31" s="268"/>
    </row>
    <row r="32" spans="2:12" ht="7.9" customHeight="1">
      <c r="B32" s="28" t="s">
        <v>141</v>
      </c>
      <c r="C32" s="39"/>
      <c r="D32" s="215">
        <v>0</v>
      </c>
      <c r="E32" s="232"/>
      <c r="F32" s="215">
        <v>0</v>
      </c>
      <c r="G32" s="232"/>
      <c r="H32" s="125">
        <f>+BG!E44</f>
        <v>-28467</v>
      </c>
      <c r="I32" s="232"/>
      <c r="J32" s="125">
        <f>+H32</f>
        <v>-28467</v>
      </c>
    </row>
    <row r="33" spans="2:11" ht="7.9" customHeight="1">
      <c r="B33" s="28"/>
      <c r="C33" s="39"/>
      <c r="D33" s="232"/>
      <c r="E33" s="232"/>
      <c r="F33" s="232"/>
      <c r="G33" s="232"/>
      <c r="H33" s="232"/>
      <c r="I33" s="232"/>
      <c r="J33" s="232"/>
    </row>
    <row r="34" spans="2:11" ht="7.9" customHeight="1" thickBot="1">
      <c r="B34" s="28" t="str">
        <f>+CONCATENATE("Saldo al 31 de diciembre ",Datos!C8)</f>
        <v>Saldo al 31 de diciembre 2024</v>
      </c>
      <c r="C34" s="137" t="s">
        <v>356</v>
      </c>
      <c r="D34" s="233">
        <f>+BG!E43</f>
        <v>272972</v>
      </c>
      <c r="E34" s="232" t="s">
        <v>356</v>
      </c>
      <c r="F34" s="233">
        <f>+F32+F26+F29</f>
        <v>7456</v>
      </c>
      <c r="G34" s="232" t="s">
        <v>356</v>
      </c>
      <c r="H34" s="129">
        <f>+H32+H26+H29</f>
        <v>-28467</v>
      </c>
      <c r="I34" s="232" t="s">
        <v>356</v>
      </c>
      <c r="J34" s="233">
        <f>+J32+J26</f>
        <v>251961</v>
      </c>
    </row>
    <row r="35" spans="2:11" ht="12" customHeight="1" thickTop="1"/>
    <row r="37" spans="2:11" ht="12" customHeight="1">
      <c r="B37" s="66" t="s">
        <v>284</v>
      </c>
    </row>
    <row r="38" spans="2:11" ht="12" customHeight="1">
      <c r="D38" s="248">
        <f>+D34-BG!E43</f>
        <v>0</v>
      </c>
      <c r="E38" s="248"/>
      <c r="F38" s="248">
        <f>+F34-BG!E45</f>
        <v>0</v>
      </c>
      <c r="G38" s="248"/>
      <c r="H38" s="248">
        <f>+H34-BG!E44</f>
        <v>0</v>
      </c>
      <c r="I38" s="248"/>
      <c r="J38" s="248">
        <f>+J34-BG!E46</f>
        <v>0</v>
      </c>
      <c r="K38" s="249" t="s">
        <v>556</v>
      </c>
    </row>
    <row r="39" spans="2:11" ht="12" customHeight="1">
      <c r="D39" s="248">
        <f>+D26-BG!G43</f>
        <v>0</v>
      </c>
      <c r="E39" s="248"/>
      <c r="F39" s="248">
        <f>+F26-BG!G45</f>
        <v>0</v>
      </c>
      <c r="G39" s="248"/>
      <c r="H39" s="248">
        <f>+H26-BG!G44</f>
        <v>0</v>
      </c>
      <c r="I39" s="248"/>
      <c r="J39" s="248">
        <f>+J26-BG!G46</f>
        <v>0</v>
      </c>
      <c r="K39" s="249" t="s">
        <v>557</v>
      </c>
    </row>
  </sheetData>
  <mergeCells count="4">
    <mergeCell ref="B15:B16"/>
    <mergeCell ref="D15:D16"/>
    <mergeCell ref="F15:F16"/>
    <mergeCell ref="H15:H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2AD9-E0B7-4573-8C36-CE4DFA3F39EF}">
  <sheetPr codeName="Hoja11"/>
  <dimension ref="B1:I64"/>
  <sheetViews>
    <sheetView showGridLines="0" topLeftCell="A4" zoomScale="89" zoomScaleNormal="89" workbookViewId="0">
      <selection activeCell="B56" sqref="B7:F56"/>
    </sheetView>
  </sheetViews>
  <sheetFormatPr baseColWidth="10" defaultRowHeight="12" customHeight="1"/>
  <cols>
    <col min="1" max="1" width="11.42578125" style="47"/>
    <col min="2" max="2" width="56.5703125" style="47" customWidth="1"/>
    <col min="3" max="3" width="1.28515625" style="263" customWidth="1"/>
    <col min="4" max="4" width="14.7109375" style="227" customWidth="1"/>
    <col min="5" max="5" width="1.28515625" style="263" customWidth="1"/>
    <col min="6" max="6" width="14.7109375" style="227" customWidth="1"/>
    <col min="7" max="10" width="14.5703125" style="47" customWidth="1"/>
    <col min="11" max="16384" width="11.42578125" style="47"/>
  </cols>
  <sheetData>
    <row r="1" spans="2:8" ht="15"/>
    <row r="2" spans="2:8" ht="15"/>
    <row r="3" spans="2:8" ht="15"/>
    <row r="4" spans="2:8" ht="15"/>
    <row r="5" spans="2:8" ht="15">
      <c r="B5" s="264"/>
      <c r="C5" s="64"/>
    </row>
    <row r="6" spans="2:8" ht="15">
      <c r="B6" s="264"/>
      <c r="C6" s="64"/>
    </row>
    <row r="7" spans="2:8" ht="18" customHeight="1">
      <c r="B7" s="46" t="str">
        <f>+Datos!C4</f>
        <v>Fideicomiso Irrevocable 4341</v>
      </c>
      <c r="C7" s="64"/>
    </row>
    <row r="8" spans="2:8" ht="18" customHeight="1">
      <c r="B8" s="46" t="str">
        <f>+Datos!C5</f>
        <v>Fideicomiso FORTMCK 19-12 Lomas Verdes</v>
      </c>
      <c r="C8" s="64"/>
    </row>
    <row r="9" spans="2:8" ht="10.15" customHeight="1">
      <c r="B9" s="36"/>
      <c r="C9" s="64"/>
    </row>
    <row r="10" spans="2:8" ht="25.9" customHeight="1">
      <c r="B10" s="37" t="s">
        <v>441</v>
      </c>
      <c r="C10" s="64"/>
    </row>
    <row r="11" spans="2:8" ht="10.15" customHeight="1">
      <c r="B11" s="38" t="str">
        <f>+Datos!C7</f>
        <v>Por los ejercicios terminados al 31 de diciembre de 2024 y 2023</v>
      </c>
      <c r="C11" s="64"/>
    </row>
    <row r="12" spans="2:8" ht="10.15" customHeight="1">
      <c r="B12" s="38" t="s">
        <v>283</v>
      </c>
      <c r="C12" s="64"/>
    </row>
    <row r="13" spans="2:8" ht="10.15" customHeight="1">
      <c r="B13" s="38"/>
      <c r="C13" s="64"/>
    </row>
    <row r="14" spans="2:8" ht="10.15" customHeight="1">
      <c r="D14" s="267">
        <f>+Datos!C8</f>
        <v>2024</v>
      </c>
      <c r="E14" s="265">
        <f>+Datos!D8</f>
        <v>0</v>
      </c>
      <c r="F14" s="267">
        <f>+Datos!C9</f>
        <v>2023</v>
      </c>
    </row>
    <row r="15" spans="2:8" ht="10.15" customHeight="1">
      <c r="G15" s="328"/>
      <c r="H15" s="266"/>
    </row>
    <row r="16" spans="2:8" ht="10.15" customHeight="1">
      <c r="B16" s="39" t="s">
        <v>302</v>
      </c>
      <c r="C16" s="137"/>
      <c r="G16" s="328"/>
      <c r="H16" s="266"/>
    </row>
    <row r="17" spans="2:8" ht="10.15" customHeight="1">
      <c r="B17" s="39" t="s">
        <v>141</v>
      </c>
      <c r="C17" s="131" t="s">
        <v>356</v>
      </c>
      <c r="D17" s="258">
        <f>+BG!E44</f>
        <v>-28467</v>
      </c>
      <c r="E17" s="131" t="s">
        <v>356</v>
      </c>
      <c r="F17" s="252">
        <f>+BG!G44</f>
        <v>7849</v>
      </c>
      <c r="G17" s="45"/>
      <c r="H17" s="45"/>
    </row>
    <row r="18" spans="2:8" ht="10.15" customHeight="1">
      <c r="D18" s="252"/>
      <c r="E18" s="131"/>
      <c r="F18" s="252"/>
      <c r="G18" s="45"/>
      <c r="H18" s="45"/>
    </row>
    <row r="19" spans="2:8" ht="10.15" customHeight="1">
      <c r="B19" s="39" t="s">
        <v>303</v>
      </c>
      <c r="C19" s="137"/>
      <c r="D19" s="252"/>
      <c r="E19" s="131"/>
      <c r="F19" s="252"/>
      <c r="G19" s="45"/>
      <c r="H19" s="45"/>
    </row>
    <row r="20" spans="2:8" ht="10.15" customHeight="1">
      <c r="B20" s="39" t="s">
        <v>132</v>
      </c>
      <c r="C20" s="137"/>
      <c r="D20" s="260">
        <f>-ER!E20</f>
        <v>21</v>
      </c>
      <c r="E20" s="131"/>
      <c r="F20" s="258">
        <f>-ER!G20</f>
        <v>11</v>
      </c>
      <c r="G20" s="45"/>
      <c r="H20" s="45"/>
    </row>
    <row r="21" spans="2:8" ht="10.15" customHeight="1">
      <c r="B21" s="39" t="s">
        <v>291</v>
      </c>
      <c r="C21" s="137"/>
      <c r="D21" s="261">
        <f>-ER!E21</f>
        <v>-8050</v>
      </c>
      <c r="E21" s="131"/>
      <c r="F21" s="261">
        <f>-ER!G21</f>
        <v>-2456</v>
      </c>
      <c r="G21" s="45"/>
      <c r="H21" s="45"/>
    </row>
    <row r="22" spans="2:8" ht="10.15" customHeight="1">
      <c r="D22" s="258">
        <f>+D17+D21+D20</f>
        <v>-36496</v>
      </c>
      <c r="E22" s="131"/>
      <c r="F22" s="258">
        <f>+F17+F21+F20</f>
        <v>5404</v>
      </c>
      <c r="G22" s="45"/>
      <c r="H22" s="45"/>
    </row>
    <row r="23" spans="2:8" ht="10.15" customHeight="1">
      <c r="D23" s="258"/>
      <c r="E23" s="131"/>
      <c r="F23" s="258"/>
      <c r="G23" s="45"/>
      <c r="H23" s="45"/>
    </row>
    <row r="24" spans="2:8" ht="10.15" customHeight="1">
      <c r="B24" s="47" t="s">
        <v>606</v>
      </c>
      <c r="D24" s="258"/>
      <c r="E24" s="131"/>
      <c r="F24" s="258"/>
      <c r="G24" s="45"/>
      <c r="H24" s="45"/>
    </row>
    <row r="25" spans="2:8" ht="10.15" customHeight="1">
      <c r="B25" s="39" t="s">
        <v>607</v>
      </c>
      <c r="C25" s="137"/>
      <c r="D25" s="252"/>
      <c r="E25" s="131"/>
      <c r="F25" s="252"/>
      <c r="G25" s="45"/>
      <c r="H25" s="45"/>
    </row>
    <row r="26" spans="2:8" ht="10.15" customHeight="1">
      <c r="B26" s="39" t="str">
        <f>+BG!B15</f>
        <v>Deudores diversos y otras cuentas por cobrar</v>
      </c>
      <c r="C26" s="137"/>
      <c r="D26" s="258">
        <f>-BG!E15+BG!G15</f>
        <v>-13053</v>
      </c>
      <c r="E26" s="131"/>
      <c r="F26" s="252">
        <v>7291</v>
      </c>
      <c r="G26" s="45"/>
      <c r="H26" s="45"/>
    </row>
    <row r="27" spans="2:8" ht="10.15" customHeight="1">
      <c r="B27" s="39" t="str">
        <f>+BG!B16</f>
        <v>Cuentas por cobrar a partes relacionadas</v>
      </c>
      <c r="D27" s="299">
        <f>-BG!E16+BG!G16</f>
        <v>0</v>
      </c>
      <c r="G27" s="45"/>
      <c r="H27" s="45"/>
    </row>
    <row r="28" spans="2:8" ht="10.15" customHeight="1">
      <c r="B28" s="39" t="s">
        <v>123</v>
      </c>
      <c r="C28" s="45"/>
      <c r="D28" s="258">
        <f>-BG!E22+BG!G22</f>
        <v>-275</v>
      </c>
      <c r="E28" s="131"/>
      <c r="F28" s="258">
        <v>-19466</v>
      </c>
      <c r="G28" s="45"/>
      <c r="H28" s="45"/>
    </row>
    <row r="29" spans="2:8" ht="10.15" customHeight="1">
      <c r="B29" s="39" t="s">
        <v>608</v>
      </c>
      <c r="C29" s="45"/>
      <c r="D29" s="258"/>
      <c r="E29" s="131"/>
      <c r="F29" s="258"/>
      <c r="G29" s="45"/>
      <c r="H29" s="45"/>
    </row>
    <row r="30" spans="2:8" ht="10.15" customHeight="1">
      <c r="B30" s="39" t="str">
        <f>+BG!B29</f>
        <v>Proveedores y acreedores diversos</v>
      </c>
      <c r="C30" s="137"/>
      <c r="D30" s="252">
        <f>+BG!E29-BG!G29</f>
        <v>28421</v>
      </c>
      <c r="E30" s="131"/>
      <c r="F30" s="258">
        <v>-11265</v>
      </c>
      <c r="G30" s="45"/>
      <c r="H30" s="45"/>
    </row>
    <row r="31" spans="2:8" ht="10.15" customHeight="1">
      <c r="B31" s="39" t="str">
        <f>+BG!B30</f>
        <v>Cuentas por pagar a partes relacionadas</v>
      </c>
      <c r="C31" s="137"/>
      <c r="D31" s="258">
        <f>+BG!E30-BG!G30</f>
        <v>-3541</v>
      </c>
      <c r="E31" s="131"/>
      <c r="F31" s="252">
        <v>3224</v>
      </c>
      <c r="G31" s="45"/>
      <c r="H31" s="45"/>
    </row>
    <row r="32" spans="2:8" ht="10.15" customHeight="1">
      <c r="B32" s="39" t="s">
        <v>126</v>
      </c>
      <c r="C32" s="137"/>
      <c r="D32" s="260">
        <f>+BG!E31-BG!G31</f>
        <v>70</v>
      </c>
      <c r="E32" s="131"/>
      <c r="F32" s="260">
        <v>347</v>
      </c>
      <c r="G32" s="45"/>
      <c r="H32" s="45"/>
    </row>
    <row r="33" spans="2:9" ht="10.15" customHeight="1">
      <c r="B33" s="39" t="s">
        <v>129</v>
      </c>
      <c r="C33" s="137"/>
      <c r="D33" s="261">
        <f>+BG!E35-BG!G35</f>
        <v>336905</v>
      </c>
      <c r="E33" s="131"/>
      <c r="F33" s="259">
        <v>71045</v>
      </c>
      <c r="G33" s="45"/>
      <c r="H33" s="45"/>
    </row>
    <row r="34" spans="2:9" ht="10.15" customHeight="1">
      <c r="B34" s="39" t="s">
        <v>304</v>
      </c>
      <c r="C34" s="137"/>
      <c r="D34" s="252">
        <f>SUM(D22:D33)</f>
        <v>312031</v>
      </c>
      <c r="E34" s="131"/>
      <c r="F34" s="258">
        <f>SUM(F22:F33)</f>
        <v>56580</v>
      </c>
      <c r="G34" s="45"/>
      <c r="H34" s="45"/>
    </row>
    <row r="35" spans="2:9" ht="10.15" customHeight="1">
      <c r="D35" s="252"/>
      <c r="E35" s="131"/>
      <c r="F35" s="252"/>
      <c r="G35" s="45"/>
      <c r="H35" s="45"/>
    </row>
    <row r="36" spans="2:9" ht="10.15" customHeight="1">
      <c r="B36" s="39" t="s">
        <v>305</v>
      </c>
      <c r="C36" s="137"/>
      <c r="D36" s="252"/>
      <c r="E36" s="131"/>
      <c r="F36" s="252"/>
      <c r="G36" s="45"/>
      <c r="H36" s="45"/>
    </row>
    <row r="37" spans="2:9" ht="10.15" customHeight="1">
      <c r="B37" s="39" t="s">
        <v>124</v>
      </c>
      <c r="C37" s="137"/>
      <c r="D37" s="258">
        <f>-BG!E20+BG!G20</f>
        <v>-311819</v>
      </c>
      <c r="E37" s="131"/>
      <c r="F37" s="258">
        <v>-159432</v>
      </c>
      <c r="G37" s="45"/>
      <c r="H37" s="45"/>
    </row>
    <row r="38" spans="2:9" ht="10.15" customHeight="1">
      <c r="B38" s="39" t="s">
        <v>603</v>
      </c>
      <c r="C38" s="137"/>
      <c r="D38" s="258">
        <f>-BG!E21+BG!G21</f>
        <v>-321</v>
      </c>
      <c r="E38" s="131"/>
      <c r="F38" s="252">
        <v>0</v>
      </c>
      <c r="G38" s="45"/>
      <c r="H38" s="45"/>
    </row>
    <row r="39" spans="2:9" ht="10.15" customHeight="1">
      <c r="B39" s="39" t="s">
        <v>291</v>
      </c>
      <c r="C39" s="137"/>
      <c r="D39" s="258">
        <f>+ER!E20</f>
        <v>-21</v>
      </c>
      <c r="E39" s="131"/>
      <c r="F39" s="258">
        <f>-F20</f>
        <v>-11</v>
      </c>
      <c r="G39" s="45"/>
      <c r="H39" s="45"/>
    </row>
    <row r="40" spans="2:9" ht="10.15" customHeight="1">
      <c r="B40" s="39" t="s">
        <v>132</v>
      </c>
      <c r="C40" s="137"/>
      <c r="D40" s="259">
        <f>+ER!E21</f>
        <v>8050</v>
      </c>
      <c r="E40" s="131"/>
      <c r="F40" s="259">
        <f>-F21</f>
        <v>2456</v>
      </c>
      <c r="G40" s="45"/>
      <c r="H40" s="45"/>
    </row>
    <row r="41" spans="2:9" ht="10.15" customHeight="1">
      <c r="B41" s="39" t="s">
        <v>306</v>
      </c>
      <c r="C41" s="137"/>
      <c r="D41" s="258">
        <f>SUM(D37:D40)</f>
        <v>-304111</v>
      </c>
      <c r="E41" s="131"/>
      <c r="F41" s="258">
        <f>SUM(F37:F40)</f>
        <v>-156987</v>
      </c>
      <c r="G41" s="45"/>
      <c r="H41" s="45"/>
    </row>
    <row r="42" spans="2:9" ht="10.15" customHeight="1">
      <c r="D42" s="252"/>
      <c r="E42" s="131"/>
      <c r="F42" s="252"/>
      <c r="G42" s="45"/>
      <c r="H42" s="45"/>
    </row>
    <row r="43" spans="2:9" ht="10.15" customHeight="1">
      <c r="B43" s="39" t="s">
        <v>307</v>
      </c>
      <c r="C43" s="137"/>
      <c r="D43" s="252"/>
      <c r="E43" s="131"/>
      <c r="F43" s="252"/>
      <c r="G43" s="45"/>
      <c r="H43" s="45"/>
      <c r="I43" s="47" t="s">
        <v>383</v>
      </c>
    </row>
    <row r="44" spans="2:9" ht="10.15" customHeight="1">
      <c r="B44" s="39" t="s">
        <v>308</v>
      </c>
      <c r="C44" s="137"/>
      <c r="D44" s="252">
        <f>+BG!E36-BG!G36</f>
        <v>59000</v>
      </c>
      <c r="E44" s="131"/>
      <c r="F44" s="252">
        <v>271000</v>
      </c>
      <c r="G44" s="45"/>
      <c r="H44" s="45"/>
    </row>
    <row r="45" spans="2:9" ht="10.15" customHeight="1">
      <c r="B45" s="39" t="s">
        <v>285</v>
      </c>
      <c r="C45" s="137"/>
      <c r="D45" s="261">
        <f>+BG!E37-BG!G37</f>
        <v>-70852</v>
      </c>
      <c r="E45" s="131"/>
      <c r="F45" s="261">
        <v>-123974</v>
      </c>
      <c r="G45" s="45"/>
      <c r="H45" s="45"/>
    </row>
    <row r="46" spans="2:9" ht="10.15" customHeight="1">
      <c r="B46" s="47" t="s">
        <v>609</v>
      </c>
      <c r="D46" s="261">
        <f>SUM(D44:D45)</f>
        <v>-11852</v>
      </c>
      <c r="E46" s="131"/>
      <c r="F46" s="259">
        <f>SUM(F44:F45)</f>
        <v>147026</v>
      </c>
      <c r="G46" s="45"/>
      <c r="H46" s="45"/>
    </row>
    <row r="47" spans="2:9" ht="10.15" customHeight="1">
      <c r="D47" s="252"/>
      <c r="E47" s="131"/>
      <c r="F47" s="252"/>
      <c r="G47" s="45"/>
      <c r="H47" s="45"/>
    </row>
    <row r="48" spans="2:9" ht="10.15" customHeight="1">
      <c r="B48" s="39" t="s">
        <v>309</v>
      </c>
      <c r="C48" s="137"/>
      <c r="D48" s="258">
        <f>+D34+D41+D46</f>
        <v>-3932</v>
      </c>
      <c r="E48" s="131"/>
      <c r="F48" s="252">
        <f>+F34+F41+F46</f>
        <v>46619</v>
      </c>
      <c r="G48" s="45"/>
      <c r="H48" s="45"/>
    </row>
    <row r="49" spans="2:8" ht="10.15" customHeight="1">
      <c r="D49" s="252"/>
      <c r="E49" s="131"/>
      <c r="F49" s="252"/>
      <c r="G49" s="45"/>
      <c r="H49" s="45"/>
    </row>
    <row r="50" spans="2:8" ht="10.15" customHeight="1">
      <c r="B50" s="39" t="s">
        <v>310</v>
      </c>
      <c r="C50" s="137"/>
      <c r="D50" s="259">
        <f>+F52</f>
        <v>46651</v>
      </c>
      <c r="E50" s="131"/>
      <c r="F50" s="259">
        <v>32</v>
      </c>
      <c r="G50" s="45"/>
      <c r="H50" s="45"/>
    </row>
    <row r="51" spans="2:8" ht="10.15" customHeight="1">
      <c r="D51" s="252"/>
      <c r="E51" s="131"/>
      <c r="F51" s="252"/>
      <c r="G51" s="45"/>
      <c r="H51" s="45"/>
    </row>
    <row r="52" spans="2:8" ht="10.15" customHeight="1" thickBot="1">
      <c r="B52" s="39" t="s">
        <v>311</v>
      </c>
      <c r="C52" s="131" t="s">
        <v>356</v>
      </c>
      <c r="D52" s="262">
        <f>+D48+D50</f>
        <v>42719</v>
      </c>
      <c r="E52" s="131" t="s">
        <v>356</v>
      </c>
      <c r="F52" s="262">
        <f>+F48+F50</f>
        <v>46651</v>
      </c>
      <c r="G52" s="45"/>
      <c r="H52" s="45"/>
    </row>
    <row r="53" spans="2:8" ht="10.15" customHeight="1" thickTop="1">
      <c r="B53" s="64"/>
      <c r="C53" s="64"/>
      <c r="D53" s="214"/>
      <c r="E53" s="131" t="s">
        <v>383</v>
      </c>
      <c r="F53" s="214"/>
      <c r="G53" s="45"/>
      <c r="H53" s="45"/>
    </row>
    <row r="54" spans="2:8" ht="10.15" customHeight="1">
      <c r="B54" s="28"/>
      <c r="C54" s="29"/>
      <c r="H54" s="45"/>
    </row>
    <row r="55" spans="2:8" ht="10.15" customHeight="1">
      <c r="B55" s="38"/>
      <c r="C55" s="64"/>
      <c r="D55" s="214"/>
      <c r="E55" s="131"/>
      <c r="F55" s="214"/>
      <c r="G55" s="45"/>
      <c r="H55" s="45"/>
    </row>
    <row r="56" spans="2:8" ht="10.15" customHeight="1">
      <c r="B56" s="66" t="s">
        <v>284</v>
      </c>
      <c r="C56" s="137"/>
      <c r="D56" s="214"/>
      <c r="E56" s="131"/>
      <c r="F56" s="214"/>
      <c r="G56" s="45"/>
      <c r="H56" s="45"/>
    </row>
    <row r="57" spans="2:8" ht="12" customHeight="1">
      <c r="D57" s="214"/>
      <c r="E57" s="131"/>
      <c r="F57" s="214"/>
      <c r="G57" s="45"/>
      <c r="H57" s="45"/>
    </row>
    <row r="58" spans="2:8" ht="12" customHeight="1">
      <c r="D58" s="253">
        <f>+D52-BG!E14</f>
        <v>0</v>
      </c>
      <c r="E58" s="251"/>
      <c r="F58" s="253">
        <f>+F52-BG!G14</f>
        <v>0</v>
      </c>
      <c r="G58" s="250" t="s">
        <v>554</v>
      </c>
      <c r="H58" s="45"/>
    </row>
    <row r="59" spans="2:8" ht="12" customHeight="1">
      <c r="D59" s="214"/>
      <c r="E59" s="131"/>
      <c r="F59" s="214"/>
      <c r="G59" s="45"/>
      <c r="H59" s="45"/>
    </row>
    <row r="60" spans="2:8" ht="12" customHeight="1">
      <c r="D60" s="214"/>
      <c r="E60" s="131"/>
      <c r="F60" s="214"/>
      <c r="G60" s="45"/>
      <c r="H60" s="45"/>
    </row>
    <row r="61" spans="2:8" ht="12" customHeight="1">
      <c r="D61" s="214"/>
      <c r="E61" s="131"/>
      <c r="F61" s="214"/>
      <c r="G61" s="45"/>
      <c r="H61" s="45"/>
    </row>
    <row r="62" spans="2:8" ht="12" customHeight="1">
      <c r="D62" s="214"/>
      <c r="E62" s="131"/>
      <c r="F62" s="214"/>
      <c r="G62" s="45"/>
      <c r="H62" s="45"/>
    </row>
    <row r="63" spans="2:8" ht="12" customHeight="1">
      <c r="D63" s="214"/>
      <c r="E63" s="131"/>
      <c r="F63" s="214"/>
      <c r="G63" s="45"/>
      <c r="H63" s="45"/>
    </row>
    <row r="64" spans="2:8" ht="12" customHeight="1">
      <c r="C64" s="263" t="s">
        <v>383</v>
      </c>
      <c r="D64" s="214"/>
      <c r="E64" s="131"/>
      <c r="F64" s="214"/>
      <c r="G64" s="45"/>
      <c r="H64" s="45"/>
    </row>
  </sheetData>
  <mergeCells count="1">
    <mergeCell ref="G15:G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659D-C6BE-4FD7-B0F3-AD1418ABFA6A}">
  <dimension ref="B2:H105"/>
  <sheetViews>
    <sheetView showGridLines="0" topLeftCell="A57" zoomScale="70" zoomScaleNormal="70" workbookViewId="0">
      <selection activeCell="A44" sqref="A44:XFD44"/>
    </sheetView>
  </sheetViews>
  <sheetFormatPr baseColWidth="10" defaultRowHeight="13.5"/>
  <cols>
    <col min="1" max="1" width="5" customWidth="1"/>
    <col min="2" max="2" width="86.7109375" customWidth="1"/>
    <col min="8" max="8" width="49" customWidth="1"/>
  </cols>
  <sheetData>
    <row r="2" spans="2:2" ht="18.75">
      <c r="B2" s="46" t="s">
        <v>281</v>
      </c>
    </row>
    <row r="3" spans="2:2" ht="18.75">
      <c r="B3" s="46" t="s">
        <v>425</v>
      </c>
    </row>
    <row r="4" spans="2:2" ht="16.5">
      <c r="B4" s="36"/>
    </row>
    <row r="5" spans="2:2" ht="27.75">
      <c r="B5" s="37" t="s">
        <v>357</v>
      </c>
    </row>
    <row r="6" spans="2:2" ht="15">
      <c r="B6" s="38" t="str">
        <f>+Datos!C7</f>
        <v>Por los ejercicios terminados al 31 de diciembre de 2024 y 2023</v>
      </c>
    </row>
    <row r="7" spans="2:2" ht="15">
      <c r="B7" s="38" t="s">
        <v>283</v>
      </c>
    </row>
    <row r="8" spans="2:2" ht="9" customHeight="1">
      <c r="B8" s="38"/>
    </row>
    <row r="9" spans="2:2" ht="15">
      <c r="B9" s="38" t="s">
        <v>358</v>
      </c>
    </row>
    <row r="10" spans="2:2" ht="4.1500000000000004" customHeight="1">
      <c r="B10" s="76"/>
    </row>
    <row r="11" spans="2:2" ht="94.9" customHeight="1">
      <c r="B11" s="69" t="s">
        <v>359</v>
      </c>
    </row>
    <row r="12" spans="2:2" ht="4.1500000000000004" customHeight="1">
      <c r="B12" s="69"/>
    </row>
    <row r="13" spans="2:2" ht="26.45" customHeight="1">
      <c r="B13" s="69" t="s">
        <v>360</v>
      </c>
    </row>
    <row r="14" spans="2:2" ht="4.1500000000000004" customHeight="1">
      <c r="B14" s="69"/>
    </row>
    <row r="15" spans="2:2" ht="27" customHeight="1">
      <c r="B15" s="69" t="s">
        <v>361</v>
      </c>
    </row>
    <row r="16" spans="2:2" ht="4.1500000000000004" customHeight="1">
      <c r="B16" s="69"/>
    </row>
    <row r="17" spans="2:2" ht="15">
      <c r="B17" s="138" t="s">
        <v>362</v>
      </c>
    </row>
    <row r="18" spans="2:2" ht="4.1500000000000004" customHeight="1">
      <c r="B18" s="139"/>
    </row>
    <row r="19" spans="2:2" ht="27" customHeight="1">
      <c r="B19" s="69" t="s">
        <v>363</v>
      </c>
    </row>
    <row r="20" spans="2:2" ht="4.1500000000000004" customHeight="1">
      <c r="B20" s="69"/>
    </row>
    <row r="21" spans="2:2" ht="27" customHeight="1">
      <c r="B21" s="140" t="s">
        <v>364</v>
      </c>
    </row>
    <row r="22" spans="2:2" ht="4.1500000000000004" customHeight="1">
      <c r="B22" s="69"/>
    </row>
    <row r="23" spans="2:2" ht="26.45" customHeight="1">
      <c r="B23" s="140" t="s">
        <v>365</v>
      </c>
    </row>
    <row r="24" spans="2:2" ht="4.1500000000000004" customHeight="1">
      <c r="B24" s="69"/>
    </row>
    <row r="25" spans="2:2" ht="60" customHeight="1">
      <c r="B25" s="140" t="s">
        <v>366</v>
      </c>
    </row>
    <row r="26" spans="2:2" ht="4.1500000000000004" customHeight="1">
      <c r="B26" s="141"/>
    </row>
    <row r="27" spans="2:2" ht="30">
      <c r="B27" s="140" t="s">
        <v>367</v>
      </c>
    </row>
    <row r="28" spans="2:2" ht="4.1500000000000004" customHeight="1">
      <c r="B28" s="141"/>
    </row>
    <row r="29" spans="2:2" ht="75">
      <c r="B29" s="140" t="s">
        <v>605</v>
      </c>
    </row>
    <row r="30" spans="2:2" ht="4.1500000000000004" customHeight="1">
      <c r="B30" s="69"/>
    </row>
    <row r="31" spans="2:2" ht="87.75" customHeight="1">
      <c r="B31" s="140" t="s">
        <v>594</v>
      </c>
    </row>
    <row r="32" spans="2:2" ht="4.1500000000000004" customHeight="1">
      <c r="B32" s="141"/>
    </row>
    <row r="33" spans="2:8" ht="45" customHeight="1">
      <c r="B33" s="140" t="s">
        <v>593</v>
      </c>
    </row>
    <row r="34" spans="2:8" ht="4.1500000000000004" customHeight="1">
      <c r="B34" s="69"/>
    </row>
    <row r="35" spans="2:8" ht="35.450000000000003" customHeight="1">
      <c r="B35" s="69" t="s">
        <v>368</v>
      </c>
    </row>
    <row r="36" spans="2:8" ht="4.1500000000000004" customHeight="1"/>
    <row r="37" spans="2:8" ht="4.1500000000000004" customHeight="1"/>
    <row r="38" spans="2:8" ht="4.1500000000000004" customHeight="1"/>
    <row r="39" spans="2:8" ht="15">
      <c r="B39" s="142" t="s">
        <v>369</v>
      </c>
    </row>
    <row r="40" spans="2:8" ht="4.1500000000000004" customHeight="1">
      <c r="B40" s="139"/>
    </row>
    <row r="41" spans="2:8" ht="60">
      <c r="B41" s="69" t="str">
        <f>+CONCATENATE(Datos!C16,H41,Datos!C20,H43)</f>
        <v>El 27 de diciembre de 2022, se publicó en el Diario Oficial de la Federación un decreto por medio del cual se reformaron los artículos 76 y 78 de la Ley Federal del Trabajo (“LFT”), el cual entró en vigor el pasado 1o de enero de 2023. Su objetivo fue el de incrementar el período anual mínimo de vacaciones a los trabajadores que tengan más de un año de servicio.</v>
      </c>
      <c r="H41" t="s">
        <v>434</v>
      </c>
    </row>
    <row r="42" spans="2:8" ht="4.1500000000000004" customHeight="1">
      <c r="B42" s="117"/>
    </row>
    <row r="43" spans="2:8" ht="61.5" customHeight="1">
      <c r="B43" s="69" t="s">
        <v>370</v>
      </c>
      <c r="H43" t="s">
        <v>435</v>
      </c>
    </row>
    <row r="44" spans="2:8" ht="25.5" customHeight="1">
      <c r="B44" s="82"/>
    </row>
    <row r="45" spans="2:8" ht="12" customHeight="1">
      <c r="B45" s="68" t="s">
        <v>506</v>
      </c>
    </row>
    <row r="46" spans="2:8" ht="4.1500000000000004" customHeight="1">
      <c r="B46" s="54"/>
    </row>
    <row r="47" spans="2:8" ht="21" customHeight="1">
      <c r="B47" s="142" t="s">
        <v>558</v>
      </c>
    </row>
    <row r="48" spans="2:8" ht="3" customHeight="1">
      <c r="B48" s="142"/>
    </row>
    <row r="49" spans="2:2" ht="56.25" customHeight="1">
      <c r="B49" s="69" t="s">
        <v>559</v>
      </c>
    </row>
    <row r="50" spans="2:2" ht="4.1500000000000004" customHeight="1">
      <c r="B50" s="69"/>
    </row>
    <row r="51" spans="2:2" ht="26.25" customHeight="1">
      <c r="B51" s="69" t="s">
        <v>560</v>
      </c>
    </row>
    <row r="52" spans="2:2" ht="4.1500000000000004" customHeight="1">
      <c r="B52" s="69"/>
    </row>
    <row r="53" spans="2:2" ht="64.5" customHeight="1">
      <c r="B53" s="69" t="s">
        <v>561</v>
      </c>
    </row>
    <row r="54" spans="2:2" ht="4.1500000000000004" customHeight="1">
      <c r="B54" s="142"/>
    </row>
    <row r="55" spans="2:2" ht="12" customHeight="1">
      <c r="B55" s="69" t="s">
        <v>562</v>
      </c>
    </row>
    <row r="56" spans="2:2" ht="4.1500000000000004" customHeight="1">
      <c r="B56" s="69"/>
    </row>
    <row r="57" spans="2:2" ht="45">
      <c r="B57" s="69" t="s">
        <v>563</v>
      </c>
    </row>
    <row r="58" spans="2:2" ht="4.1500000000000004" customHeight="1">
      <c r="B58" s="69"/>
    </row>
    <row r="59" spans="2:2" ht="41.25" customHeight="1">
      <c r="B59" s="69" t="s">
        <v>564</v>
      </c>
    </row>
    <row r="60" spans="2:2" ht="4.1500000000000004" customHeight="1">
      <c r="B60" s="69"/>
    </row>
    <row r="61" spans="2:2" ht="42" customHeight="1">
      <c r="B61" s="69" t="s">
        <v>565</v>
      </c>
    </row>
    <row r="62" spans="2:2" ht="4.1500000000000004" customHeight="1">
      <c r="B62" s="69"/>
    </row>
    <row r="63" spans="2:2" ht="15">
      <c r="B63" s="69" t="s">
        <v>566</v>
      </c>
    </row>
    <row r="64" spans="2:2" ht="4.1500000000000004" customHeight="1"/>
    <row r="65" spans="2:2" ht="12.75" customHeight="1">
      <c r="B65" s="69" t="s">
        <v>567</v>
      </c>
    </row>
    <row r="66" spans="2:2" ht="4.1500000000000004" customHeight="1"/>
    <row r="67" spans="2:2" ht="15">
      <c r="B67" s="69" t="s">
        <v>568</v>
      </c>
    </row>
    <row r="68" spans="2:2" ht="4.1500000000000004" customHeight="1">
      <c r="B68" s="69"/>
    </row>
    <row r="69" spans="2:2" ht="15">
      <c r="B69" s="69" t="s">
        <v>569</v>
      </c>
    </row>
    <row r="70" spans="2:2" ht="4.1500000000000004" customHeight="1">
      <c r="B70" s="69"/>
    </row>
    <row r="71" spans="2:2" ht="15">
      <c r="B71" s="69" t="s">
        <v>570</v>
      </c>
    </row>
    <row r="72" spans="2:2" ht="4.1500000000000004" customHeight="1">
      <c r="B72" s="69"/>
    </row>
    <row r="73" spans="2:2" ht="15">
      <c r="B73" s="69" t="s">
        <v>571</v>
      </c>
    </row>
    <row r="74" spans="2:2" ht="4.1500000000000004" customHeight="1">
      <c r="B74" s="69"/>
    </row>
    <row r="75" spans="2:2" ht="15">
      <c r="B75" s="69" t="s">
        <v>572</v>
      </c>
    </row>
    <row r="76" spans="2:2" ht="4.1500000000000004" customHeight="1">
      <c r="B76" s="69"/>
    </row>
    <row r="77" spans="2:2" ht="15">
      <c r="B77" s="69" t="s">
        <v>573</v>
      </c>
    </row>
    <row r="78" spans="2:2" ht="4.1500000000000004" customHeight="1">
      <c r="B78" s="69"/>
    </row>
    <row r="79" spans="2:2" ht="15">
      <c r="B79" s="144" t="s">
        <v>574</v>
      </c>
    </row>
    <row r="80" spans="2:2" ht="4.1500000000000004" customHeight="1">
      <c r="B80" s="69"/>
    </row>
    <row r="81" spans="2:2" ht="39" customHeight="1">
      <c r="B81" s="69" t="s">
        <v>575</v>
      </c>
    </row>
    <row r="82" spans="2:2" ht="4.1500000000000004" customHeight="1">
      <c r="B82" s="69"/>
    </row>
    <row r="83" spans="2:2" ht="83.25" customHeight="1">
      <c r="B83" s="69" t="s">
        <v>371</v>
      </c>
    </row>
    <row r="84" spans="2:2" ht="4.1500000000000004" customHeight="1">
      <c r="B84" s="69"/>
    </row>
    <row r="85" spans="2:2" ht="39.75" customHeight="1">
      <c r="B85" s="69" t="s">
        <v>576</v>
      </c>
    </row>
    <row r="86" spans="2:2" ht="4.1500000000000004" customHeight="1">
      <c r="B86" s="69"/>
    </row>
    <row r="87" spans="2:2" ht="24.75" customHeight="1">
      <c r="B87" s="69" t="s">
        <v>577</v>
      </c>
    </row>
    <row r="88" spans="2:2" ht="4.1500000000000004" customHeight="1">
      <c r="B88" s="69"/>
    </row>
    <row r="89" spans="2:2" ht="27.75" customHeight="1">
      <c r="B89" s="69" t="s">
        <v>578</v>
      </c>
    </row>
    <row r="90" spans="2:2" ht="1.5" customHeight="1">
      <c r="B90" s="69"/>
    </row>
    <row r="91" spans="2:2" ht="30">
      <c r="B91" s="69" t="s">
        <v>579</v>
      </c>
    </row>
    <row r="92" spans="2:2" ht="4.5" customHeight="1">
      <c r="B92" s="69"/>
    </row>
    <row r="93" spans="2:2" ht="15">
      <c r="B93" s="144" t="s">
        <v>372</v>
      </c>
    </row>
    <row r="94" spans="2:2" ht="7.5" customHeight="1">
      <c r="B94" s="69"/>
    </row>
    <row r="95" spans="2:2" ht="83.25" customHeight="1">
      <c r="B95" s="69" t="s">
        <v>373</v>
      </c>
    </row>
    <row r="96" spans="2:2" ht="15" hidden="1">
      <c r="B96" s="69"/>
    </row>
    <row r="97" spans="2:2" ht="15">
      <c r="B97" s="144" t="s">
        <v>374</v>
      </c>
    </row>
    <row r="98" spans="2:2" ht="2.25" customHeight="1">
      <c r="B98" s="69"/>
    </row>
    <row r="99" spans="2:2" ht="23.25" customHeight="1">
      <c r="B99" s="69" t="s">
        <v>375</v>
      </c>
    </row>
    <row r="100" spans="2:2" ht="5.25" customHeight="1">
      <c r="B100" s="69"/>
    </row>
    <row r="101" spans="2:2" ht="39.75" customHeight="1">
      <c r="B101" s="69" t="s">
        <v>376</v>
      </c>
    </row>
    <row r="102" spans="2:2" ht="2.25" customHeight="1">
      <c r="B102" s="69"/>
    </row>
    <row r="103" spans="2:2" ht="12" customHeight="1">
      <c r="B103" s="144" t="s">
        <v>377</v>
      </c>
    </row>
    <row r="104" spans="2:2" ht="3.75" customHeight="1">
      <c r="B104" s="144"/>
    </row>
    <row r="105" spans="2:2" ht="87" customHeight="1">
      <c r="B105" s="69" t="s">
        <v>580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1267-4D4E-4AB2-968A-CAB554D25B9E}">
  <dimension ref="B4:F17"/>
  <sheetViews>
    <sheetView showGridLines="0" topLeftCell="A2" workbookViewId="0">
      <selection activeCell="B17" sqref="B17"/>
    </sheetView>
  </sheetViews>
  <sheetFormatPr baseColWidth="10" defaultRowHeight="13.5"/>
  <cols>
    <col min="1" max="1" width="4.7109375" customWidth="1"/>
    <col min="2" max="2" width="86.7109375" customWidth="1"/>
    <col min="3" max="3" width="5.7109375" customWidth="1"/>
    <col min="4" max="4" width="15.7109375" customWidth="1"/>
  </cols>
  <sheetData>
    <row r="4" spans="2:6" ht="15">
      <c r="D4" s="145" t="s">
        <v>378</v>
      </c>
      <c r="E4" s="145" t="s">
        <v>379</v>
      </c>
      <c r="F4" s="145" t="s">
        <v>380</v>
      </c>
    </row>
    <row r="5" spans="2:6" ht="7.15" customHeight="1">
      <c r="D5" s="58"/>
      <c r="E5" s="58"/>
      <c r="F5" s="58"/>
    </row>
    <row r="6" spans="2:6" ht="15">
      <c r="D6" s="137">
        <v>2024</v>
      </c>
      <c r="E6" s="177">
        <v>4.2099999999999999E-2</v>
      </c>
      <c r="F6" s="177">
        <v>0.17630000000000001</v>
      </c>
    </row>
    <row r="7" spans="2:6" ht="15">
      <c r="D7" s="137">
        <v>2023</v>
      </c>
      <c r="E7" s="177">
        <v>4.6600000000000003E-2</v>
      </c>
      <c r="F7" s="177">
        <v>0.19839999999999999</v>
      </c>
    </row>
    <row r="8" spans="2:6" ht="15">
      <c r="D8" s="137">
        <v>2022</v>
      </c>
      <c r="E8" s="177">
        <v>7.8200000000000006E-2</v>
      </c>
      <c r="F8" s="177">
        <v>0.18329999999999999</v>
      </c>
    </row>
    <row r="9" spans="2:6" ht="6.6" customHeight="1">
      <c r="B9" s="69"/>
    </row>
    <row r="10" spans="2:6" ht="13.15" customHeight="1">
      <c r="B10" s="144" t="s">
        <v>381</v>
      </c>
    </row>
    <row r="11" spans="2:6" ht="9" customHeight="1">
      <c r="B11" s="69"/>
    </row>
    <row r="12" spans="2:6" ht="10.9" customHeight="1">
      <c r="B12" s="69" t="s">
        <v>602</v>
      </c>
    </row>
    <row r="13" spans="2:6" ht="7.5" customHeight="1">
      <c r="B13" s="69"/>
    </row>
    <row r="14" spans="2:6" ht="51.75" customHeight="1">
      <c r="B14" s="69"/>
    </row>
    <row r="15" spans="2:6" ht="7.5" customHeight="1">
      <c r="B15" s="69"/>
    </row>
    <row r="16" spans="2:6" ht="58.5" customHeight="1">
      <c r="B16" s="69"/>
    </row>
    <row r="17" spans="2:2" ht="15">
      <c r="B17" s="6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3D96-4544-4EFF-9CE0-B09AA7261499}">
  <dimension ref="B4:B108"/>
  <sheetViews>
    <sheetView showGridLines="0" topLeftCell="A26" zoomScale="70" workbookViewId="0">
      <selection activeCell="B34" sqref="B34"/>
    </sheetView>
  </sheetViews>
  <sheetFormatPr baseColWidth="10" defaultRowHeight="13.5"/>
  <cols>
    <col min="1" max="1" width="5.28515625" customWidth="1"/>
    <col min="2" max="2" width="86.7109375" customWidth="1"/>
  </cols>
  <sheetData>
    <row r="4" spans="2:2" ht="15">
      <c r="B4" s="68" t="s">
        <v>507</v>
      </c>
    </row>
    <row r="5" spans="2:2" ht="2.25" customHeight="1">
      <c r="B5" s="68"/>
    </row>
    <row r="6" spans="2:2" ht="28.5" customHeight="1">
      <c r="B6" s="69" t="s">
        <v>382</v>
      </c>
    </row>
    <row r="7" spans="2:2" ht="0.75" customHeight="1">
      <c r="B7" s="69" t="s">
        <v>383</v>
      </c>
    </row>
    <row r="8" spans="2:2" ht="47.25" customHeight="1">
      <c r="B8" s="69" t="s">
        <v>384</v>
      </c>
    </row>
    <row r="9" spans="2:2" ht="15" customHeight="1">
      <c r="B9" s="68"/>
    </row>
    <row r="10" spans="2:2" ht="12.75" customHeight="1">
      <c r="B10" s="143" t="s">
        <v>501</v>
      </c>
    </row>
    <row r="11" spans="2:2" ht="6.6" customHeight="1">
      <c r="B11" s="69"/>
    </row>
    <row r="12" spans="2:2" ht="40.5" customHeight="1">
      <c r="B12" s="69" t="s">
        <v>385</v>
      </c>
    </row>
    <row r="13" spans="2:2" ht="7.15" customHeight="1">
      <c r="B13" s="69"/>
    </row>
    <row r="14" spans="2:2" ht="50.25" customHeight="1">
      <c r="B14" s="69" t="s">
        <v>386</v>
      </c>
    </row>
    <row r="15" spans="2:2" ht="6.6" customHeight="1">
      <c r="B15" s="69"/>
    </row>
    <row r="16" spans="2:2" ht="51" customHeight="1">
      <c r="B16" s="69" t="s">
        <v>387</v>
      </c>
    </row>
    <row r="17" spans="2:2" ht="7.9" customHeight="1">
      <c r="B17" s="39"/>
    </row>
    <row r="18" spans="2:2" ht="15">
      <c r="B18" s="143" t="s">
        <v>502</v>
      </c>
    </row>
    <row r="19" spans="2:2" ht="7.15" customHeight="1">
      <c r="B19" s="69"/>
    </row>
    <row r="20" spans="2:2" ht="72.75" customHeight="1">
      <c r="B20" s="69" t="s">
        <v>388</v>
      </c>
    </row>
    <row r="21" spans="2:2" ht="7.9" customHeight="1">
      <c r="B21" s="69"/>
    </row>
    <row r="22" spans="2:2" ht="38.25" customHeight="1">
      <c r="B22" s="69" t="s">
        <v>389</v>
      </c>
    </row>
    <row r="23" spans="2:2" ht="7.9" customHeight="1">
      <c r="B23" s="69"/>
    </row>
    <row r="24" spans="2:2" ht="42.75" customHeight="1">
      <c r="B24" s="69" t="s">
        <v>390</v>
      </c>
    </row>
    <row r="25" spans="2:2" ht="7.15" customHeight="1">
      <c r="B25" s="69"/>
    </row>
    <row r="26" spans="2:2" ht="53.45" customHeight="1">
      <c r="B26" s="69" t="s">
        <v>391</v>
      </c>
    </row>
    <row r="27" spans="2:2" ht="7.15" customHeight="1">
      <c r="B27" s="69"/>
    </row>
    <row r="28" spans="2:2" ht="27" customHeight="1">
      <c r="B28" s="69" t="s">
        <v>392</v>
      </c>
    </row>
    <row r="29" spans="2:2" ht="5.45" customHeight="1">
      <c r="B29" s="39"/>
    </row>
    <row r="30" spans="2:2" ht="24" customHeight="1">
      <c r="B30" s="69" t="s">
        <v>393</v>
      </c>
    </row>
    <row r="31" spans="2:2" ht="7.9" customHeight="1">
      <c r="B31" s="69"/>
    </row>
    <row r="32" spans="2:2" ht="24" customHeight="1">
      <c r="B32" s="69" t="s">
        <v>691</v>
      </c>
    </row>
    <row r="33" spans="2:2" ht="7.9" customHeight="1">
      <c r="B33" s="69"/>
    </row>
    <row r="34" spans="2:2" ht="12.75" customHeight="1">
      <c r="B34" s="143" t="s">
        <v>714</v>
      </c>
    </row>
    <row r="35" spans="2:2" ht="6.6" customHeight="1">
      <c r="B35" s="142"/>
    </row>
    <row r="36" spans="2:2" ht="21.75" customHeight="1">
      <c r="B36" s="69" t="s">
        <v>394</v>
      </c>
    </row>
    <row r="37" spans="2:2" ht="5.25" customHeight="1">
      <c r="B37" s="39"/>
    </row>
    <row r="38" spans="2:2" ht="51.75" customHeight="1">
      <c r="B38" s="69" t="s">
        <v>727</v>
      </c>
    </row>
    <row r="39" spans="2:2" ht="6.6" customHeight="1">
      <c r="B39" s="69"/>
    </row>
    <row r="40" spans="2:2" ht="97.5" customHeight="1">
      <c r="B40" s="69" t="s">
        <v>395</v>
      </c>
    </row>
    <row r="41" spans="2:2" ht="6.6" customHeight="1">
      <c r="B41" s="69"/>
    </row>
    <row r="42" spans="2:2" ht="12" customHeight="1">
      <c r="B42" s="143" t="s">
        <v>611</v>
      </c>
    </row>
    <row r="43" spans="2:2" ht="6.6" customHeight="1">
      <c r="B43" s="69"/>
    </row>
    <row r="44" spans="2:2" ht="15">
      <c r="B44" s="69" t="s">
        <v>604</v>
      </c>
    </row>
    <row r="45" spans="2:2" ht="4.5" customHeight="1">
      <c r="B45" s="69"/>
    </row>
    <row r="46" spans="2:2" ht="40.9" customHeight="1">
      <c r="B46" s="69" t="s">
        <v>688</v>
      </c>
    </row>
    <row r="47" spans="2:2" ht="6" customHeight="1">
      <c r="B47" s="69" t="s">
        <v>383</v>
      </c>
    </row>
    <row r="48" spans="2:2" ht="36.75" customHeight="1">
      <c r="B48" s="69" t="s">
        <v>689</v>
      </c>
    </row>
    <row r="49" spans="2:2" ht="5.45" customHeight="1">
      <c r="B49" s="69"/>
    </row>
    <row r="50" spans="2:2" ht="24" customHeight="1">
      <c r="B50" s="69" t="s">
        <v>396</v>
      </c>
    </row>
    <row r="51" spans="2:2" ht="1.5" customHeight="1">
      <c r="B51" s="69"/>
    </row>
    <row r="52" spans="2:2" ht="28.5" customHeight="1">
      <c r="B52" s="69" t="s">
        <v>397</v>
      </c>
    </row>
    <row r="53" spans="2:2" ht="6" customHeight="1">
      <c r="B53" s="69"/>
    </row>
    <row r="54" spans="2:2" ht="96.6" customHeight="1">
      <c r="B54" s="69" t="s">
        <v>398</v>
      </c>
    </row>
    <row r="55" spans="2:2" ht="5.45" customHeight="1">
      <c r="B55" s="69"/>
    </row>
    <row r="56" spans="2:2" ht="23.25" customHeight="1">
      <c r="B56" s="69" t="s">
        <v>399</v>
      </c>
    </row>
    <row r="57" spans="2:2" ht="6" customHeight="1">
      <c r="B57" s="39"/>
    </row>
    <row r="58" spans="2:2" ht="12" customHeight="1">
      <c r="B58" s="143" t="s">
        <v>728</v>
      </c>
    </row>
    <row r="59" spans="2:2" ht="8.4499999999999993" customHeight="1">
      <c r="B59" s="142"/>
    </row>
    <row r="60" spans="2:2" ht="53.25" customHeight="1">
      <c r="B60" s="69" t="s">
        <v>400</v>
      </c>
    </row>
    <row r="61" spans="2:2" ht="6.6" customHeight="1">
      <c r="B61" s="69"/>
    </row>
    <row r="62" spans="2:2" ht="82.5" customHeight="1">
      <c r="B62" s="69" t="s">
        <v>401</v>
      </c>
    </row>
    <row r="63" spans="2:2" ht="6" customHeight="1">
      <c r="B63" s="39"/>
    </row>
    <row r="64" spans="2:2" ht="12" customHeight="1">
      <c r="B64" s="143" t="s">
        <v>729</v>
      </c>
    </row>
    <row r="65" spans="2:2" ht="6.6" customHeight="1">
      <c r="B65" s="39"/>
    </row>
    <row r="66" spans="2:2" ht="64.5" customHeight="1">
      <c r="B66" s="69" t="s">
        <v>730</v>
      </c>
    </row>
    <row r="67" spans="2:2" ht="7.15" customHeight="1">
      <c r="B67" s="69"/>
    </row>
    <row r="68" spans="2:2" ht="30">
      <c r="B68" s="69" t="s">
        <v>686</v>
      </c>
    </row>
    <row r="69" spans="2:2" ht="7.15" customHeight="1">
      <c r="B69" s="69"/>
    </row>
    <row r="70" spans="2:2" ht="105">
      <c r="B70" s="69" t="s">
        <v>731</v>
      </c>
    </row>
    <row r="71" spans="2:2" ht="7.15" customHeight="1">
      <c r="B71" s="69"/>
    </row>
    <row r="72" spans="2:2" ht="45">
      <c r="B72" s="69" t="s">
        <v>687</v>
      </c>
    </row>
    <row r="73" spans="2:2" ht="7.15" customHeight="1">
      <c r="B73" s="69"/>
    </row>
    <row r="74" spans="2:2" ht="12" customHeight="1">
      <c r="B74" s="143" t="s">
        <v>732</v>
      </c>
    </row>
    <row r="75" spans="2:2" ht="7.15" customHeight="1">
      <c r="B75" s="142"/>
    </row>
    <row r="76" spans="2:2" ht="80.45" customHeight="1">
      <c r="B76" s="69" t="s">
        <v>402</v>
      </c>
    </row>
    <row r="77" spans="2:2" ht="12" customHeight="1">
      <c r="B77" s="143" t="s">
        <v>733</v>
      </c>
    </row>
    <row r="78" spans="2:2" ht="7.15" customHeight="1">
      <c r="B78" s="143"/>
    </row>
    <row r="79" spans="2:2" ht="80.45" customHeight="1">
      <c r="B79" s="71" t="s">
        <v>591</v>
      </c>
    </row>
    <row r="80" spans="2:2" ht="6.6" customHeight="1">
      <c r="B80" s="69" t="s">
        <v>383</v>
      </c>
    </row>
    <row r="81" spans="2:2" ht="12" customHeight="1">
      <c r="B81" s="143" t="s">
        <v>734</v>
      </c>
    </row>
    <row r="82" spans="2:2" ht="6.6" customHeight="1">
      <c r="B82" s="69"/>
    </row>
    <row r="83" spans="2:2" ht="12" customHeight="1">
      <c r="B83" s="69" t="s">
        <v>403</v>
      </c>
    </row>
    <row r="84" spans="2:2" ht="9.6" customHeight="1">
      <c r="B84" s="69"/>
    </row>
    <row r="85" spans="2:2" ht="15">
      <c r="B85" s="69" t="s">
        <v>503</v>
      </c>
    </row>
    <row r="86" spans="2:2" ht="45">
      <c r="B86" s="69" t="s">
        <v>504</v>
      </c>
    </row>
    <row r="87" spans="2:2" ht="45">
      <c r="B87" s="69" t="s">
        <v>508</v>
      </c>
    </row>
    <row r="88" spans="2:2" ht="42" customHeight="1">
      <c r="B88" s="69" t="s">
        <v>505</v>
      </c>
    </row>
    <row r="89" spans="2:2" ht="7.9" customHeight="1">
      <c r="B89" s="146"/>
    </row>
    <row r="90" spans="2:2" ht="15">
      <c r="B90" s="143" t="s">
        <v>735</v>
      </c>
    </row>
    <row r="91" spans="2:2" ht="7.15" customHeight="1">
      <c r="B91" s="142"/>
    </row>
    <row r="92" spans="2:2" ht="88.5" customHeight="1">
      <c r="B92" s="69" t="s">
        <v>738</v>
      </c>
    </row>
    <row r="93" spans="2:2" ht="3" customHeight="1">
      <c r="B93" s="178"/>
    </row>
    <row r="94" spans="2:2" ht="15">
      <c r="B94" s="143" t="s">
        <v>736</v>
      </c>
    </row>
    <row r="95" spans="2:2" ht="7.15" customHeight="1">
      <c r="B95" s="142"/>
    </row>
    <row r="96" spans="2:2" ht="88.5" customHeight="1">
      <c r="B96" s="69" t="s">
        <v>404</v>
      </c>
    </row>
    <row r="97" spans="2:2" ht="3" customHeight="1">
      <c r="B97" s="178"/>
    </row>
    <row r="98" spans="2:2" ht="12" customHeight="1">
      <c r="B98" s="143" t="s">
        <v>737</v>
      </c>
    </row>
    <row r="99" spans="2:2" ht="3" customHeight="1">
      <c r="B99" s="142"/>
    </row>
    <row r="100" spans="2:2" ht="55.5" customHeight="1">
      <c r="B100" s="69" t="s">
        <v>405</v>
      </c>
    </row>
    <row r="101" spans="2:2" ht="7.5" customHeight="1">
      <c r="B101" s="47"/>
    </row>
    <row r="102" spans="2:2" ht="15">
      <c r="B102" s="142"/>
    </row>
    <row r="103" spans="2:2" ht="7.5" customHeight="1">
      <c r="B103" s="47"/>
    </row>
    <row r="104" spans="2:2" ht="44.25" customHeight="1">
      <c r="B104" s="69"/>
    </row>
    <row r="105" spans="2:2" ht="7.5" customHeight="1">
      <c r="B105" s="69"/>
    </row>
    <row r="106" spans="2:2" ht="50.25" customHeight="1">
      <c r="B106" s="69"/>
    </row>
    <row r="107" spans="2:2" ht="7.5" customHeight="1">
      <c r="B107" s="69"/>
    </row>
    <row r="108" spans="2:2" ht="22.5" customHeight="1">
      <c r="B108" s="69"/>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E909-758A-4042-8B9C-AC40D1B1D8B6}">
  <sheetPr codeName="Hoja12"/>
  <dimension ref="B1:J25"/>
  <sheetViews>
    <sheetView showGridLines="0" workbookViewId="0">
      <selection activeCell="E12" sqref="E8:I12"/>
    </sheetView>
  </sheetViews>
  <sheetFormatPr baseColWidth="10" defaultRowHeight="12" customHeight="1"/>
  <cols>
    <col min="1" max="1" width="11.42578125" style="47"/>
    <col min="2" max="2" width="86.7109375" style="47" customWidth="1"/>
    <col min="3" max="3" width="5.28515625" style="47" customWidth="1"/>
    <col min="4" max="4" width="4.7109375" style="47" customWidth="1"/>
    <col min="5" max="5" width="36.7109375" style="47" customWidth="1"/>
    <col min="6" max="6" width="1.28515625" style="47" customWidth="1"/>
    <col min="7" max="7" width="14.7109375" style="47" customWidth="1"/>
    <col min="8" max="8" width="1.28515625" style="47" customWidth="1"/>
    <col min="9" max="9" width="14.7109375" style="47" customWidth="1"/>
    <col min="10" max="10" width="14.5703125" style="47" customWidth="1"/>
    <col min="11" max="16384" width="11.42578125" style="47"/>
  </cols>
  <sheetData>
    <row r="1" spans="2:10" ht="15"/>
    <row r="2" spans="2:10" ht="15">
      <c r="B2" s="38"/>
    </row>
    <row r="3" spans="2:10" ht="12" customHeight="1">
      <c r="B3" s="68" t="s">
        <v>581</v>
      </c>
    </row>
    <row r="4" spans="2:10" ht="12" customHeight="1">
      <c r="B4" s="69"/>
    </row>
    <row r="5" spans="2:10" ht="19.899999999999999" customHeight="1">
      <c r="B5" s="69" t="str">
        <f>+CONCATENATE(Datos!C14,E5)</f>
        <v>Al 31 de diciembre de 2024 y 2023, el saldo se integra principalmente por depósitos en cuentas de cheques, todos de gran liquidez:</v>
      </c>
      <c r="E5" s="47" t="s">
        <v>428</v>
      </c>
    </row>
    <row r="6" spans="2:10" ht="12" customHeight="1">
      <c r="B6" s="68"/>
      <c r="E6" s="328"/>
      <c r="F6" s="266"/>
      <c r="G6" s="266"/>
      <c r="H6" s="266"/>
    </row>
    <row r="7" spans="2:10" ht="12" customHeight="1">
      <c r="E7" s="328"/>
      <c r="F7" s="266"/>
      <c r="G7" s="266"/>
      <c r="H7" s="266"/>
    </row>
    <row r="8" spans="2:10" ht="12" customHeight="1">
      <c r="B8" s="39"/>
      <c r="E8" s="266"/>
      <c r="F8" s="266"/>
      <c r="G8" s="70">
        <f>+Datos!C8</f>
        <v>2024</v>
      </c>
      <c r="H8" s="70"/>
      <c r="I8" s="70">
        <f>+Datos!C9</f>
        <v>2023</v>
      </c>
    </row>
    <row r="9" spans="2:10" ht="12" customHeight="1">
      <c r="B9" s="39"/>
      <c r="C9" s="57"/>
      <c r="D9" s="57"/>
      <c r="E9" s="71"/>
      <c r="F9" s="71"/>
      <c r="G9" s="71"/>
      <c r="H9" s="71"/>
      <c r="I9" s="71"/>
    </row>
    <row r="10" spans="2:10" ht="12" customHeight="1">
      <c r="B10" s="39"/>
      <c r="C10" s="62"/>
      <c r="D10" s="62"/>
      <c r="E10" s="71" t="s">
        <v>312</v>
      </c>
      <c r="F10" s="71" t="s">
        <v>356</v>
      </c>
      <c r="G10" s="258">
        <f>+ROUND((SUMIF(BalanzaActual!$AI:$AI,E10,BalanzaActual!$Z:$Z)),0)</f>
        <v>464</v>
      </c>
      <c r="H10" s="31" t="s">
        <v>356</v>
      </c>
      <c r="I10" s="258">
        <f>+ROUND((SUMIF(BalanzaAnterior!$AF:$AF,E10,BalanzaAnterior!$Y:$Y)),0)</f>
        <v>1174</v>
      </c>
    </row>
    <row r="11" spans="2:10" ht="12" customHeight="1">
      <c r="E11" s="71" t="s">
        <v>313</v>
      </c>
      <c r="F11" s="71"/>
      <c r="G11" s="261">
        <f>+ROUND((SUMIF(BalanzaActual!$AI:$AI,E11,BalanzaActual!$Z:$Z)),0)</f>
        <v>42255</v>
      </c>
      <c r="H11" s="274"/>
      <c r="I11" s="261">
        <f>+ROUND((SUMIF(BalanzaAnterior!$AF:$AF,E11,BalanzaAnterior!$Y:$Y)),0)</f>
        <v>45477</v>
      </c>
    </row>
    <row r="12" spans="2:10" ht="12" customHeight="1">
      <c r="B12" s="39"/>
      <c r="E12" s="71" t="s">
        <v>314</v>
      </c>
      <c r="F12" s="31" t="s">
        <v>356</v>
      </c>
      <c r="G12" s="275">
        <f>SUM(G10:G11)</f>
        <v>42719</v>
      </c>
      <c r="H12" s="31" t="s">
        <v>356</v>
      </c>
      <c r="I12" s="275">
        <f>SUM(I10:I11)</f>
        <v>46651</v>
      </c>
    </row>
    <row r="13" spans="2:10" ht="12" customHeight="1">
      <c r="B13" s="39"/>
      <c r="C13" s="62"/>
      <c r="D13" s="62"/>
    </row>
    <row r="14" spans="2:10" ht="12" customHeight="1">
      <c r="B14" s="39"/>
      <c r="C14" s="57"/>
      <c r="D14" s="57"/>
      <c r="G14" s="248">
        <f>+'N4 Efectivo'!G12-BG!E14</f>
        <v>0</v>
      </c>
      <c r="H14" s="248"/>
      <c r="I14" s="248">
        <f>+'N4 Efectivo'!I12-BG!G14</f>
        <v>0</v>
      </c>
      <c r="J14" s="277" t="s">
        <v>315</v>
      </c>
    </row>
    <row r="15" spans="2:10" ht="12" customHeight="1">
      <c r="C15" s="57"/>
      <c r="D15" s="57"/>
    </row>
    <row r="17" spans="2:4" ht="12" customHeight="1">
      <c r="B17" s="39"/>
      <c r="C17" s="62"/>
      <c r="D17" s="62"/>
    </row>
    <row r="19" spans="2:4" ht="12" customHeight="1">
      <c r="B19" s="39"/>
      <c r="C19" s="61"/>
      <c r="D19" s="61"/>
    </row>
    <row r="21" spans="2:4" ht="12" customHeight="1">
      <c r="B21" s="39"/>
      <c r="C21" s="63"/>
      <c r="D21" s="63"/>
    </row>
    <row r="22" spans="2:4" ht="12" customHeight="1">
      <c r="B22" s="64"/>
      <c r="C22" s="43"/>
      <c r="D22" s="43"/>
    </row>
    <row r="23" spans="2:4" ht="12" customHeight="1">
      <c r="B23" s="28"/>
      <c r="C23" s="28"/>
      <c r="D23" s="28"/>
    </row>
    <row r="24" spans="2:4" ht="12" customHeight="1">
      <c r="B24" s="38"/>
    </row>
    <row r="25" spans="2:4" ht="12" customHeight="1">
      <c r="B25" s="66"/>
    </row>
  </sheetData>
  <mergeCells count="1">
    <mergeCell ref="E6:E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5B3ED-E640-44B8-A6E9-467104CB112F}">
  <dimension ref="B5:E238"/>
  <sheetViews>
    <sheetView showGridLines="0" topLeftCell="A17" zoomScale="90" zoomScaleNormal="90" workbookViewId="0">
      <selection activeCell="B27" sqref="B27"/>
    </sheetView>
  </sheetViews>
  <sheetFormatPr baseColWidth="10" defaultRowHeight="13.5"/>
  <cols>
    <col min="1" max="1" width="8.42578125" customWidth="1"/>
    <col min="2" max="2" width="86.7109375" customWidth="1"/>
  </cols>
  <sheetData>
    <row r="5" spans="2:5" ht="15">
      <c r="B5" s="68" t="s">
        <v>708</v>
      </c>
    </row>
    <row r="6" spans="2:5" ht="1.5" customHeight="1">
      <c r="B6" s="69"/>
    </row>
    <row r="7" spans="2:5" ht="57" customHeight="1">
      <c r="B7" s="69" t="s">
        <v>739</v>
      </c>
    </row>
    <row r="8" spans="2:5" ht="1.5" customHeight="1">
      <c r="B8" s="69"/>
    </row>
    <row r="9" spans="2:5" ht="72.75" customHeight="1">
      <c r="B9" s="69" t="s">
        <v>740</v>
      </c>
    </row>
    <row r="10" spans="2:5" ht="5.25" customHeight="1">
      <c r="B10" s="69"/>
    </row>
    <row r="11" spans="2:5" ht="11.25" customHeight="1">
      <c r="B11" s="69" t="s">
        <v>582</v>
      </c>
      <c r="E11" t="s">
        <v>429</v>
      </c>
    </row>
    <row r="12" spans="2:5" ht="5.25" customHeight="1">
      <c r="B12" s="69"/>
    </row>
    <row r="13" spans="2:5" ht="105">
      <c r="B13" s="69" t="s">
        <v>610</v>
      </c>
    </row>
    <row r="14" spans="2:5" ht="4.5" customHeight="1"/>
    <row r="15" spans="2:5" ht="46.5" customHeight="1">
      <c r="B15" s="150" t="s">
        <v>741</v>
      </c>
      <c r="D15" s="180"/>
      <c r="E15" s="180"/>
    </row>
    <row r="16" spans="2:5" ht="4.5" customHeight="1"/>
    <row r="17" spans="2:5" ht="46.5" customHeight="1">
      <c r="B17" s="150" t="s">
        <v>742</v>
      </c>
      <c r="D17" s="180"/>
      <c r="E17" s="180"/>
    </row>
    <row r="18" spans="2:5" ht="8.25" customHeight="1">
      <c r="B18" s="150"/>
      <c r="D18" s="180"/>
      <c r="E18" s="180"/>
    </row>
    <row r="19" spans="2:5" ht="57.75" customHeight="1">
      <c r="B19" s="150" t="s">
        <v>743</v>
      </c>
      <c r="D19" s="180"/>
      <c r="E19" s="180"/>
    </row>
    <row r="20" spans="2:5" ht="8.25" customHeight="1">
      <c r="B20" s="150"/>
      <c r="D20" s="180"/>
      <c r="E20" s="180"/>
    </row>
    <row r="21" spans="2:5" ht="24" customHeight="1">
      <c r="B21" s="150" t="s">
        <v>744</v>
      </c>
      <c r="D21" s="180"/>
      <c r="E21" s="180"/>
    </row>
    <row r="22" spans="2:5" ht="7.5" customHeight="1">
      <c r="B22" s="150"/>
      <c r="D22" s="180"/>
      <c r="E22" s="180"/>
    </row>
    <row r="23" spans="2:5" ht="24.75" customHeight="1">
      <c r="B23" s="150" t="s">
        <v>745</v>
      </c>
      <c r="D23" s="180"/>
      <c r="E23" s="180"/>
    </row>
    <row r="24" spans="2:5" ht="7.5" customHeight="1">
      <c r="B24" s="150"/>
      <c r="D24" s="180"/>
      <c r="E24" s="180"/>
    </row>
    <row r="25" spans="2:5" ht="23.25" customHeight="1">
      <c r="B25" s="69" t="s">
        <v>586</v>
      </c>
    </row>
    <row r="26" spans="2:5" ht="15">
      <c r="B26" s="69"/>
    </row>
    <row r="27" spans="2:5" ht="30">
      <c r="B27" s="69" t="s">
        <v>763</v>
      </c>
    </row>
    <row r="48" spans="2:2" ht="15">
      <c r="B48" s="69"/>
    </row>
    <row r="213" spans="2:2" ht="15">
      <c r="B213" s="68" t="s">
        <v>414</v>
      </c>
    </row>
    <row r="214" spans="2:2" ht="15">
      <c r="B214" s="68"/>
    </row>
    <row r="215" spans="2:2" ht="120">
      <c r="B215" s="69" t="s">
        <v>415</v>
      </c>
    </row>
    <row r="216" spans="2:2" ht="15">
      <c r="B216" s="69"/>
    </row>
    <row r="217" spans="2:2" ht="30">
      <c r="B217" s="69" t="s">
        <v>416</v>
      </c>
    </row>
    <row r="218" spans="2:2" ht="16.5">
      <c r="B218" s="36"/>
    </row>
    <row r="220" spans="2:2" ht="15">
      <c r="B220" s="147"/>
    </row>
    <row r="221" spans="2:2" ht="15">
      <c r="B221" s="148"/>
    </row>
    <row r="222" spans="2:2" ht="15">
      <c r="B222" s="68" t="s">
        <v>417</v>
      </c>
    </row>
    <row r="223" spans="2:2" ht="15">
      <c r="B223" s="68"/>
    </row>
    <row r="224" spans="2:2" ht="30">
      <c r="B224" s="69" t="s">
        <v>418</v>
      </c>
    </row>
    <row r="225" spans="2:2" ht="16.5">
      <c r="B225" s="36"/>
    </row>
    <row r="226" spans="2:2" ht="15">
      <c r="B226" s="148"/>
    </row>
    <row r="227" spans="2:2" ht="15">
      <c r="B227" s="68" t="s">
        <v>419</v>
      </c>
    </row>
    <row r="228" spans="2:2" ht="15">
      <c r="B228" s="69"/>
    </row>
    <row r="229" spans="2:2" ht="45">
      <c r="B229" s="69" t="s">
        <v>420</v>
      </c>
    </row>
    <row r="230" spans="2:2" ht="15">
      <c r="B230" s="69"/>
    </row>
    <row r="231" spans="2:2" ht="45">
      <c r="B231" s="69" t="s">
        <v>421</v>
      </c>
    </row>
    <row r="232" spans="2:2" ht="16.5">
      <c r="B232" s="36"/>
    </row>
    <row r="233" spans="2:2" ht="15">
      <c r="B233" s="147"/>
    </row>
    <row r="234" spans="2:2" ht="15">
      <c r="B234" s="68" t="s">
        <v>422</v>
      </c>
    </row>
    <row r="235" spans="2:2" ht="14.25">
      <c r="B235" s="76"/>
    </row>
    <row r="236" spans="2:2" ht="60">
      <c r="B236" s="69" t="s">
        <v>423</v>
      </c>
    </row>
    <row r="237" spans="2:2" ht="15">
      <c r="B237" s="69"/>
    </row>
    <row r="238" spans="2:2" ht="16.5">
      <c r="B238" s="54"/>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3115-D6F8-44F7-B954-870CAB234B80}">
  <sheetPr codeName="Hoja7"/>
  <dimension ref="A1:L37"/>
  <sheetViews>
    <sheetView showGridLines="0" topLeftCell="B5" workbookViewId="0">
      <selection activeCell="J23" sqref="J23"/>
    </sheetView>
  </sheetViews>
  <sheetFormatPr baseColWidth="10" defaultRowHeight="12" customHeight="1"/>
  <cols>
    <col min="1" max="1" width="14.5703125" style="47" customWidth="1"/>
    <col min="2" max="2" width="44.42578125" style="47" customWidth="1"/>
    <col min="3" max="3" width="1.28515625" style="47" customWidth="1"/>
    <col min="4" max="4" width="15.7109375" style="47" customWidth="1"/>
    <col min="5" max="5" width="1.28515625" style="47" customWidth="1"/>
    <col min="6" max="6" width="16" style="227" customWidth="1"/>
    <col min="7" max="7" width="15.7109375" style="47" bestFit="1" customWidth="1"/>
    <col min="8" max="10" width="11.42578125" style="47"/>
    <col min="11" max="11" width="11.85546875" style="47" bestFit="1" customWidth="1"/>
    <col min="12" max="16384" width="11.42578125" style="47"/>
  </cols>
  <sheetData>
    <row r="1" spans="1:7" ht="12" customHeight="1">
      <c r="B1" s="39"/>
      <c r="C1" s="39"/>
      <c r="D1" s="39"/>
      <c r="E1" s="39"/>
    </row>
    <row r="2" spans="1:7" ht="12" customHeight="1">
      <c r="A2" s="57"/>
      <c r="B2" s="53"/>
      <c r="C2" s="53"/>
      <c r="D2" s="53"/>
      <c r="E2" s="53"/>
    </row>
    <row r="3" spans="1:7" ht="12" customHeight="1">
      <c r="A3" s="62"/>
      <c r="B3" s="266"/>
      <c r="C3" s="266"/>
      <c r="D3" s="70">
        <f>+Datos!C8</f>
        <v>2024</v>
      </c>
      <c r="E3" s="266"/>
      <c r="F3" s="70">
        <f>+Datos!C9</f>
        <v>2023</v>
      </c>
      <c r="G3" s="47" t="s">
        <v>587</v>
      </c>
    </row>
    <row r="4" spans="1:7" ht="12" customHeight="1">
      <c r="B4" s="77" t="s">
        <v>710</v>
      </c>
      <c r="C4" s="71"/>
      <c r="D4" s="71"/>
      <c r="E4" s="71"/>
      <c r="F4" s="70"/>
    </row>
    <row r="5" spans="1:7" ht="12" customHeight="1">
      <c r="B5" s="71" t="s">
        <v>715</v>
      </c>
      <c r="C5" s="71" t="s">
        <v>356</v>
      </c>
      <c r="D5" s="261">
        <f>+ROUND((SUMIF(BalanzaActual!$AI:$AI,B5,BalanzaActual!$Z:$Z)),0)</f>
        <v>388000</v>
      </c>
      <c r="E5" s="31" t="s">
        <v>356</v>
      </c>
      <c r="F5" s="259">
        <f>+ROUND((SUMIF(BalanzaAnterior!$AF:$AF,B5,BalanzaAnterior!$Y:$Y)),0)</f>
        <v>388000</v>
      </c>
      <c r="G5" s="284">
        <f>+D5-F5</f>
        <v>0</v>
      </c>
    </row>
    <row r="6" spans="1:7" ht="12" customHeight="1">
      <c r="B6" s="71" t="s">
        <v>712</v>
      </c>
      <c r="C6" s="71"/>
      <c r="D6" s="258">
        <f>+D5</f>
        <v>388000</v>
      </c>
      <c r="E6" s="31"/>
      <c r="F6" s="258">
        <f>+F5</f>
        <v>388000</v>
      </c>
      <c r="G6" s="249"/>
    </row>
    <row r="7" spans="1:7" ht="12" customHeight="1">
      <c r="B7" s="71"/>
      <c r="C7" s="71"/>
      <c r="D7" s="258"/>
      <c r="E7" s="31"/>
      <c r="F7" s="258"/>
      <c r="G7" s="249"/>
    </row>
    <row r="8" spans="1:7" ht="12" customHeight="1">
      <c r="B8" s="77" t="s">
        <v>711</v>
      </c>
      <c r="C8" s="71"/>
      <c r="D8" s="258"/>
      <c r="E8" s="31"/>
      <c r="F8" s="252"/>
      <c r="G8" s="249"/>
    </row>
    <row r="9" spans="1:7" ht="12" customHeight="1">
      <c r="A9" s="62"/>
      <c r="B9" s="71" t="s">
        <v>716</v>
      </c>
      <c r="C9" s="71"/>
      <c r="D9" s="258">
        <f>+ROUND((SUMIF(BalanzaActual!$AI:$AI,B9,BalanzaActual!$Z:$Z)),0)</f>
        <v>95033</v>
      </c>
      <c r="E9" s="35"/>
      <c r="F9" s="252">
        <f>+ROUND((SUMIF(BalanzaAnterior!$AF:$AF,B9,BalanzaAnterior!$Y:$Y)),0)</f>
        <v>13933</v>
      </c>
      <c r="G9" s="284">
        <f>+D9-F9</f>
        <v>81100</v>
      </c>
    </row>
    <row r="10" spans="1:7" ht="12" customHeight="1">
      <c r="A10" s="57"/>
      <c r="B10" s="71" t="s">
        <v>717</v>
      </c>
      <c r="C10" s="71"/>
      <c r="D10" s="258">
        <f>+ROUND((SUMIF(BalanzaActual!$AI:$AI,B10,BalanzaActual!$Z:$Z)),0)</f>
        <v>478485</v>
      </c>
      <c r="E10" s="35"/>
      <c r="F10" s="252">
        <f>+ROUND((SUMIF(BalanzaAnterior!$AF:$AF,B10,BalanzaAnterior!$Y:$Y)),0)</f>
        <v>293576</v>
      </c>
      <c r="G10" s="284">
        <f>+D10-F10</f>
        <v>184909</v>
      </c>
    </row>
    <row r="11" spans="1:7" ht="12" customHeight="1">
      <c r="A11" s="57"/>
      <c r="B11" s="71" t="s">
        <v>718</v>
      </c>
      <c r="C11" s="71"/>
      <c r="D11" s="261">
        <f>+ROUND((SUMIF(BalanzaActual!$AI:$AI,B11,BalanzaActual!$Z:$Z)),0)</f>
        <v>25669</v>
      </c>
      <c r="E11" s="35"/>
      <c r="F11" s="259">
        <f>+ROUND((SUMIF(BalanzaAnterior!$AF:$AF,B11,BalanzaAnterior!$Y:$Y)),0)</f>
        <v>26034</v>
      </c>
      <c r="G11" s="284">
        <f>+D11-F11</f>
        <v>-365</v>
      </c>
    </row>
    <row r="12" spans="1:7" ht="12" customHeight="1">
      <c r="A12" s="57"/>
      <c r="B12" s="30" t="s">
        <v>746</v>
      </c>
      <c r="C12" s="71"/>
      <c r="D12" s="258">
        <f>+D11+D10+D9</f>
        <v>599187</v>
      </c>
      <c r="E12" s="35"/>
      <c r="F12" s="258">
        <f>+F11+F10+F9</f>
        <v>333543</v>
      </c>
      <c r="G12" s="285"/>
    </row>
    <row r="13" spans="1:7" ht="12" customHeight="1">
      <c r="A13" s="57"/>
      <c r="B13" s="30"/>
      <c r="C13" s="71"/>
      <c r="D13" s="258"/>
      <c r="E13" s="35"/>
      <c r="F13" s="258"/>
      <c r="G13" s="285"/>
    </row>
    <row r="14" spans="1:7" ht="12" customHeight="1">
      <c r="A14" s="57"/>
      <c r="B14" s="210" t="s">
        <v>316</v>
      </c>
      <c r="C14" s="150"/>
      <c r="D14" s="258">
        <f>+ROUND((SUMIF(BalanzaActual!$AI:$AI,B14,BalanzaActual!$Z:$Z)),0)</f>
        <v>72465</v>
      </c>
      <c r="E14" s="31"/>
      <c r="F14" s="258">
        <f>+ROUND((SUMIF(BalanzaAnterior!$AF:$AF,B14,BalanzaAnterior!$H:$H)/1000),0)</f>
        <v>41306</v>
      </c>
      <c r="G14" s="284">
        <f>+D14-F14</f>
        <v>31159</v>
      </c>
    </row>
    <row r="15" spans="1:7" ht="12" customHeight="1">
      <c r="A15" s="57"/>
      <c r="B15" s="71"/>
      <c r="C15" s="71"/>
      <c r="D15" s="258"/>
      <c r="E15" s="35"/>
      <c r="F15" s="252"/>
      <c r="G15" s="249"/>
    </row>
    <row r="16" spans="1:7" ht="12" customHeight="1">
      <c r="B16" s="71" t="s">
        <v>719</v>
      </c>
      <c r="C16" s="71"/>
      <c r="D16" s="261">
        <f>+ROUND((SUMIF(BalanzaActual!$AI:$AI,B16,BalanzaActual!$Z:$Z)),0)</f>
        <v>26131</v>
      </c>
      <c r="E16" s="33"/>
      <c r="F16" s="259">
        <f>+ROUND((SUMIF(BalanzaAnterior!$AF:$AF,B16,BalanzaAnterior!$Y:$Y)),0)</f>
        <v>11115</v>
      </c>
      <c r="G16" s="284">
        <f>+D16-F16</f>
        <v>15016</v>
      </c>
    </row>
    <row r="17" spans="1:11" ht="12" customHeight="1">
      <c r="A17" s="62"/>
      <c r="B17" s="30" t="s">
        <v>721</v>
      </c>
      <c r="C17" s="31" t="s">
        <v>356</v>
      </c>
      <c r="D17" s="275">
        <f>+D16+D6+D12+D14</f>
        <v>1085783</v>
      </c>
      <c r="E17" s="31" t="s">
        <v>356</v>
      </c>
      <c r="F17" s="275">
        <f>+F16+F6+F12+F14</f>
        <v>773964</v>
      </c>
      <c r="G17" s="249"/>
    </row>
    <row r="18" spans="1:11" ht="12" customHeight="1">
      <c r="G18" s="249"/>
    </row>
    <row r="19" spans="1:11" ht="12" customHeight="1">
      <c r="A19" s="61"/>
      <c r="D19" s="279">
        <f>+D17-BG!E20</f>
        <v>0</v>
      </c>
      <c r="E19" s="249"/>
      <c r="F19" s="248">
        <f>+F17-BG!G20</f>
        <v>0</v>
      </c>
      <c r="G19" s="249" t="s">
        <v>555</v>
      </c>
    </row>
    <row r="20" spans="1:11" ht="12" customHeight="1">
      <c r="D20" s="47" t="s">
        <v>383</v>
      </c>
      <c r="G20" s="249"/>
    </row>
    <row r="21" spans="1:11" ht="11.25" customHeight="1">
      <c r="A21" s="63"/>
      <c r="D21" s="311">
        <v>2024</v>
      </c>
      <c r="E21" s="288"/>
      <c r="F21" s="312">
        <v>2023</v>
      </c>
      <c r="G21" s="249"/>
    </row>
    <row r="22" spans="1:11" ht="11.25" customHeight="1">
      <c r="A22" s="63"/>
      <c r="F22" s="283"/>
      <c r="G22" s="249"/>
    </row>
    <row r="23" spans="1:11" ht="12" customHeight="1">
      <c r="A23" s="43"/>
      <c r="B23" s="71" t="s">
        <v>583</v>
      </c>
      <c r="C23" s="31" t="s">
        <v>356</v>
      </c>
      <c r="D23" s="295">
        <f>+F17</f>
        <v>773964</v>
      </c>
      <c r="E23" s="31" t="s">
        <v>356</v>
      </c>
      <c r="F23" s="287">
        <f>573172+1</f>
        <v>573173</v>
      </c>
      <c r="G23" s="284">
        <f>+D23-F23</f>
        <v>200791</v>
      </c>
      <c r="J23" s="282"/>
      <c r="K23" s="282"/>
    </row>
    <row r="24" spans="1:11" ht="12" customHeight="1">
      <c r="A24" s="28"/>
      <c r="B24" s="71"/>
      <c r="D24" s="296"/>
      <c r="F24" s="287"/>
      <c r="G24" s="249"/>
    </row>
    <row r="25" spans="1:11" ht="12" customHeight="1">
      <c r="B25" s="71" t="s">
        <v>585</v>
      </c>
      <c r="D25" s="297">
        <f>+D12+D16-F12-F16+D14-F14</f>
        <v>311819</v>
      </c>
      <c r="F25" s="297">
        <f>159485+F14</f>
        <v>200791</v>
      </c>
      <c r="G25" s="284">
        <f>+D25-F25</f>
        <v>111028</v>
      </c>
    </row>
    <row r="26" spans="1:11" ht="12" customHeight="1">
      <c r="B26" s="71"/>
      <c r="D26" s="296"/>
      <c r="F26" s="287"/>
      <c r="J26" s="280"/>
      <c r="K26" s="280"/>
    </row>
    <row r="27" spans="1:11" ht="12" customHeight="1">
      <c r="B27" s="30" t="s">
        <v>584</v>
      </c>
      <c r="C27" s="31" t="s">
        <v>356</v>
      </c>
      <c r="D27" s="298">
        <f>+D23+D25</f>
        <v>1085783</v>
      </c>
      <c r="E27" s="31" t="s">
        <v>356</v>
      </c>
      <c r="F27" s="298">
        <f>+F23+F25</f>
        <v>773964</v>
      </c>
    </row>
    <row r="29" spans="1:11" ht="12" customHeight="1">
      <c r="D29" s="278">
        <f>+D27-D17</f>
        <v>0</v>
      </c>
      <c r="E29" s="278"/>
      <c r="F29" s="278">
        <f>+F27-F17</f>
        <v>0</v>
      </c>
      <c r="G29" s="249" t="s">
        <v>555</v>
      </c>
      <c r="J29" s="280"/>
      <c r="K29" s="280"/>
    </row>
    <row r="32" spans="1:11" ht="12" customHeight="1">
      <c r="J32" s="280"/>
      <c r="K32" s="280"/>
    </row>
    <row r="33" spans="8:12" ht="12" customHeight="1">
      <c r="J33" s="280"/>
      <c r="K33" s="280"/>
      <c r="L33" s="280"/>
    </row>
    <row r="35" spans="8:12" ht="12" customHeight="1">
      <c r="J35" s="280"/>
      <c r="K35" s="280"/>
      <c r="L35" s="280"/>
    </row>
    <row r="36" spans="8:12" ht="12" customHeight="1">
      <c r="H36" s="47" t="s">
        <v>383</v>
      </c>
      <c r="L36" s="280"/>
    </row>
    <row r="37" spans="8:12" ht="12" customHeight="1">
      <c r="J37" s="280"/>
      <c r="K37" s="227"/>
      <c r="L37" s="26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90B95-9E72-4F5A-A8F5-D707997D06F1}">
  <sheetPr codeName="Hoja22"/>
  <dimension ref="B1:Q44"/>
  <sheetViews>
    <sheetView showGridLines="0" topLeftCell="E3" workbookViewId="0">
      <selection activeCell="B4" sqref="B4"/>
    </sheetView>
  </sheetViews>
  <sheetFormatPr baseColWidth="10" defaultRowHeight="12" customHeight="1"/>
  <cols>
    <col min="1" max="1" width="11.42578125" style="47"/>
    <col min="2" max="2" width="86.7109375" style="47" customWidth="1"/>
    <col min="3" max="3" width="5.28515625" style="47" customWidth="1"/>
    <col min="4" max="4" width="4.7109375" style="47" customWidth="1"/>
    <col min="5" max="5" width="36.7109375" style="47" customWidth="1"/>
    <col min="6" max="6" width="1.28515625" style="47" customWidth="1"/>
    <col min="7" max="7" width="14.7109375" style="47" customWidth="1"/>
    <col min="8" max="8" width="1.28515625" style="47" customWidth="1"/>
    <col min="9" max="9" width="14.7109375" style="47" customWidth="1"/>
    <col min="10" max="10" width="14.5703125" style="47" customWidth="1"/>
    <col min="11" max="11" width="11.42578125" style="47"/>
    <col min="12" max="12" width="96.7109375" style="47" bestFit="1" customWidth="1"/>
    <col min="13" max="13" width="14.5703125" style="227" bestFit="1" customWidth="1"/>
    <col min="14" max="14" width="13.5703125" style="227" bestFit="1" customWidth="1"/>
    <col min="15" max="15" width="11.5703125" style="227" bestFit="1" customWidth="1"/>
    <col min="16" max="16" width="11.5703125" style="227" customWidth="1"/>
    <col min="17" max="17" width="34.7109375" style="47" bestFit="1" customWidth="1"/>
    <col min="18" max="16384" width="11.42578125" style="47"/>
  </cols>
  <sheetData>
    <row r="1" spans="2:17" ht="15"/>
    <row r="2" spans="2:17" ht="15">
      <c r="B2" s="38"/>
    </row>
    <row r="3" spans="2:17" ht="12" customHeight="1">
      <c r="B3" s="68" t="s">
        <v>747</v>
      </c>
    </row>
    <row r="4" spans="2:17" ht="12" customHeight="1">
      <c r="B4" s="69"/>
    </row>
    <row r="5" spans="2:17" ht="19.899999999999999" customHeight="1">
      <c r="B5" s="69" t="s">
        <v>617</v>
      </c>
    </row>
    <row r="6" spans="2:17" ht="12" customHeight="1">
      <c r="B6" s="68"/>
      <c r="E6" s="328"/>
      <c r="F6" s="266"/>
      <c r="G6" s="266"/>
      <c r="H6" s="266"/>
    </row>
    <row r="7" spans="2:17" ht="12" customHeight="1">
      <c r="E7" s="328"/>
      <c r="F7" s="266"/>
      <c r="G7" s="266"/>
      <c r="H7" s="266"/>
      <c r="M7" s="227" t="s">
        <v>685</v>
      </c>
      <c r="O7" s="227" t="s">
        <v>662</v>
      </c>
    </row>
    <row r="8" spans="2:17" ht="12" customHeight="1">
      <c r="B8" s="39"/>
      <c r="E8" s="266"/>
      <c r="F8" s="266"/>
      <c r="G8" s="266">
        <f>+Datos!C8</f>
        <v>2024</v>
      </c>
      <c r="H8" s="266"/>
      <c r="I8" s="266">
        <f>+Datos!C9</f>
        <v>2023</v>
      </c>
      <c r="M8" s="227">
        <v>2024</v>
      </c>
      <c r="N8" s="227">
        <v>2023</v>
      </c>
      <c r="O8" s="227">
        <v>2024</v>
      </c>
      <c r="P8" s="227">
        <v>2023</v>
      </c>
      <c r="Q8" s="47" t="s">
        <v>136</v>
      </c>
    </row>
    <row r="9" spans="2:17" ht="12" customHeight="1">
      <c r="B9" s="39"/>
      <c r="C9" s="57"/>
      <c r="D9" s="57"/>
      <c r="E9" s="71"/>
      <c r="F9" s="71"/>
      <c r="G9" s="71"/>
      <c r="H9" s="71"/>
      <c r="I9" s="71"/>
      <c r="L9" s="47" t="s">
        <v>637</v>
      </c>
      <c r="M9" s="227">
        <v>-1205516.6599999999</v>
      </c>
      <c r="O9" s="227">
        <f>+ROUND(M9/1000,0)</f>
        <v>-1206</v>
      </c>
      <c r="P9" s="227">
        <f>+ROUND(N9/1000,0)</f>
        <v>0</v>
      </c>
      <c r="Q9" s="71"/>
    </row>
    <row r="10" spans="2:17" ht="12" customHeight="1">
      <c r="B10" s="39"/>
      <c r="C10" s="62"/>
      <c r="D10" s="62"/>
      <c r="E10" s="71" t="s">
        <v>612</v>
      </c>
      <c r="F10" s="71" t="s">
        <v>356</v>
      </c>
      <c r="G10" s="258">
        <f>+-SUMIF(Q:Q,E10,O:O)</f>
        <v>29645</v>
      </c>
      <c r="H10" s="31" t="s">
        <v>356</v>
      </c>
      <c r="I10" s="258">
        <f>+-SUMIF(Q:Q,E10,P:P)</f>
        <v>3523</v>
      </c>
      <c r="J10" s="227"/>
      <c r="L10" s="47" t="s">
        <v>638</v>
      </c>
      <c r="M10" s="227">
        <v>-6960</v>
      </c>
      <c r="N10" s="227">
        <v>-6960</v>
      </c>
      <c r="O10" s="227">
        <f t="shared" ref="O10:O44" si="0">+ROUND(M10/1000,0)</f>
        <v>-7</v>
      </c>
      <c r="P10" s="227">
        <f t="shared" ref="P10:P41" si="1">+ROUND(N10/1000,0)</f>
        <v>-7</v>
      </c>
      <c r="Q10" s="47" t="s">
        <v>614</v>
      </c>
    </row>
    <row r="11" spans="2:17" ht="12" customHeight="1">
      <c r="B11" s="39"/>
      <c r="C11" s="62"/>
      <c r="D11" s="62"/>
      <c r="E11" s="71" t="s">
        <v>613</v>
      </c>
      <c r="F11" s="71"/>
      <c r="G11" s="258">
        <f>+-SUMIF(Q:Q,E11,O:O)</f>
        <v>2887</v>
      </c>
      <c r="H11" s="31"/>
      <c r="I11" s="299">
        <f t="shared" ref="I11:I13" si="2">+-SUMIF(Q:Q,E11,P:P)</f>
        <v>0</v>
      </c>
      <c r="J11" s="227"/>
      <c r="L11" s="47" t="s">
        <v>639</v>
      </c>
      <c r="M11" s="227">
        <v>-7571.32</v>
      </c>
      <c r="N11" s="227">
        <v>-9941.2000000000007</v>
      </c>
      <c r="O11" s="227">
        <f t="shared" si="0"/>
        <v>-8</v>
      </c>
      <c r="P11" s="227">
        <f t="shared" si="1"/>
        <v>-10</v>
      </c>
      <c r="Q11" s="47" t="s">
        <v>614</v>
      </c>
    </row>
    <row r="12" spans="2:17" ht="12" customHeight="1">
      <c r="B12" s="39"/>
      <c r="C12" s="62"/>
      <c r="D12" s="62"/>
      <c r="E12" s="71" t="s">
        <v>614</v>
      </c>
      <c r="F12" s="71"/>
      <c r="G12" s="258">
        <f t="shared" ref="G12:G13" si="3">+-SUMIF(Q:Q,E12,O:O)</f>
        <v>1801</v>
      </c>
      <c r="H12" s="31"/>
      <c r="I12" s="258">
        <f t="shared" si="2"/>
        <v>2817</v>
      </c>
      <c r="J12" s="227"/>
      <c r="L12" s="47" t="s">
        <v>640</v>
      </c>
      <c r="M12" s="227">
        <v>-153358.24</v>
      </c>
      <c r="N12" s="227">
        <v>-290164.8</v>
      </c>
      <c r="O12" s="227">
        <f t="shared" si="0"/>
        <v>-153</v>
      </c>
      <c r="P12" s="227">
        <f t="shared" si="1"/>
        <v>-290</v>
      </c>
      <c r="Q12" s="47" t="s">
        <v>614</v>
      </c>
    </row>
    <row r="13" spans="2:17" ht="12" customHeight="1">
      <c r="B13" s="39"/>
      <c r="C13" s="62"/>
      <c r="D13" s="71"/>
      <c r="E13" s="71" t="s">
        <v>616</v>
      </c>
      <c r="F13" s="71"/>
      <c r="G13" s="261">
        <f t="shared" si="3"/>
        <v>1445</v>
      </c>
      <c r="H13" s="31"/>
      <c r="I13" s="261">
        <f t="shared" si="2"/>
        <v>1017</v>
      </c>
      <c r="J13" s="227"/>
      <c r="L13" s="47" t="s">
        <v>625</v>
      </c>
      <c r="M13" s="227">
        <v>-43851.37</v>
      </c>
      <c r="N13" s="227">
        <v>-8330.66</v>
      </c>
      <c r="O13" s="227">
        <f t="shared" si="0"/>
        <v>-44</v>
      </c>
      <c r="P13" s="227">
        <f t="shared" si="1"/>
        <v>-8</v>
      </c>
      <c r="Q13" s="47" t="s">
        <v>614</v>
      </c>
    </row>
    <row r="14" spans="2:17" ht="12" customHeight="1">
      <c r="D14" s="71"/>
      <c r="E14" s="71" t="s">
        <v>314</v>
      </c>
      <c r="F14" s="31" t="s">
        <v>356</v>
      </c>
      <c r="G14" s="275">
        <f>SUM(G10:G13)</f>
        <v>35778</v>
      </c>
      <c r="H14" s="31" t="s">
        <v>356</v>
      </c>
      <c r="I14" s="275">
        <f>SUM(I10:I13)</f>
        <v>7357</v>
      </c>
      <c r="L14" s="47" t="s">
        <v>626</v>
      </c>
      <c r="M14" s="227">
        <v>-2886509.2</v>
      </c>
      <c r="O14" s="227">
        <f t="shared" si="0"/>
        <v>-2887</v>
      </c>
      <c r="P14" s="227">
        <f t="shared" si="1"/>
        <v>0</v>
      </c>
      <c r="Q14" s="71" t="s">
        <v>613</v>
      </c>
    </row>
    <row r="15" spans="2:17" ht="12" customHeight="1">
      <c r="B15" s="39"/>
      <c r="L15" s="47" t="s">
        <v>641</v>
      </c>
      <c r="M15" s="227">
        <v>-171</v>
      </c>
      <c r="O15" s="227">
        <f t="shared" si="0"/>
        <v>0</v>
      </c>
      <c r="P15" s="227">
        <f t="shared" si="1"/>
        <v>0</v>
      </c>
      <c r="Q15" s="47" t="s">
        <v>614</v>
      </c>
    </row>
    <row r="16" spans="2:17" ht="12" customHeight="1">
      <c r="B16" s="39"/>
      <c r="C16" s="62"/>
      <c r="D16" s="62"/>
      <c r="G16" s="248">
        <f>+'N6 Proveedores'!G14-BG!E29</f>
        <v>0</v>
      </c>
      <c r="H16" s="248"/>
      <c r="I16" s="248">
        <f>+'N6 Proveedores'!I14-BG!G29</f>
        <v>0</v>
      </c>
      <c r="J16" s="277" t="s">
        <v>315</v>
      </c>
      <c r="L16" s="47" t="s">
        <v>630</v>
      </c>
      <c r="M16" s="227">
        <v>-1579983</v>
      </c>
      <c r="N16" s="227">
        <v>-2077337.8</v>
      </c>
      <c r="O16" s="227">
        <f t="shared" si="0"/>
        <v>-1580</v>
      </c>
      <c r="P16" s="227">
        <f t="shared" si="1"/>
        <v>-2077</v>
      </c>
      <c r="Q16" s="47" t="s">
        <v>614</v>
      </c>
    </row>
    <row r="17" spans="2:17" ht="12" customHeight="1">
      <c r="B17" s="39"/>
      <c r="C17" s="57"/>
      <c r="D17" s="57"/>
      <c r="L17" s="47" t="s">
        <v>642</v>
      </c>
      <c r="M17" s="227">
        <v>-850400</v>
      </c>
      <c r="O17" s="227">
        <f t="shared" si="0"/>
        <v>-850</v>
      </c>
      <c r="P17" s="227">
        <f t="shared" si="1"/>
        <v>0</v>
      </c>
      <c r="Q17" s="47" t="s">
        <v>612</v>
      </c>
    </row>
    <row r="18" spans="2:17" ht="12" customHeight="1">
      <c r="C18" s="57"/>
      <c r="D18" s="57"/>
      <c r="L18" s="47" t="s">
        <v>643</v>
      </c>
      <c r="M18" s="227">
        <v>-353089.72</v>
      </c>
      <c r="O18" s="227">
        <f t="shared" si="0"/>
        <v>-353</v>
      </c>
      <c r="P18" s="227">
        <f t="shared" si="1"/>
        <v>0</v>
      </c>
      <c r="Q18" s="71" t="s">
        <v>616</v>
      </c>
    </row>
    <row r="19" spans="2:17" ht="12" customHeight="1">
      <c r="L19" s="47" t="s">
        <v>644</v>
      </c>
      <c r="M19" s="227">
        <v>-935365.14</v>
      </c>
      <c r="O19" s="227">
        <f t="shared" si="0"/>
        <v>-935</v>
      </c>
      <c r="P19" s="227">
        <f t="shared" si="1"/>
        <v>0</v>
      </c>
      <c r="Q19" s="47" t="s">
        <v>612</v>
      </c>
    </row>
    <row r="20" spans="2:17" ht="12" customHeight="1">
      <c r="B20" s="39"/>
      <c r="C20" s="62"/>
      <c r="D20" s="62"/>
      <c r="L20" s="47" t="s">
        <v>645</v>
      </c>
      <c r="M20" s="227">
        <v>-12467641.01</v>
      </c>
      <c r="O20" s="227">
        <f t="shared" si="0"/>
        <v>-12468</v>
      </c>
      <c r="P20" s="227">
        <f t="shared" si="1"/>
        <v>0</v>
      </c>
      <c r="Q20" s="47" t="s">
        <v>612</v>
      </c>
    </row>
    <row r="21" spans="2:17" ht="12" customHeight="1">
      <c r="L21" s="47" t="s">
        <v>646</v>
      </c>
      <c r="M21" s="227">
        <v>-2139981.65</v>
      </c>
      <c r="O21" s="227">
        <f t="shared" si="0"/>
        <v>-2140</v>
      </c>
      <c r="P21" s="227">
        <f t="shared" si="1"/>
        <v>0</v>
      </c>
      <c r="Q21" s="47" t="s">
        <v>612</v>
      </c>
    </row>
    <row r="22" spans="2:17" ht="12" customHeight="1">
      <c r="B22" s="39"/>
      <c r="C22" s="61"/>
      <c r="D22" s="61"/>
      <c r="L22" s="47" t="s">
        <v>647</v>
      </c>
      <c r="M22" s="227">
        <v>-12909331.800000001</v>
      </c>
      <c r="O22" s="227">
        <f t="shared" si="0"/>
        <v>-12909</v>
      </c>
      <c r="P22" s="227">
        <f t="shared" si="1"/>
        <v>0</v>
      </c>
      <c r="Q22" s="47" t="s">
        <v>612</v>
      </c>
    </row>
    <row r="23" spans="2:17" ht="12" customHeight="1">
      <c r="L23" s="47" t="s">
        <v>648</v>
      </c>
      <c r="M23" s="227">
        <v>-206909.2</v>
      </c>
      <c r="O23" s="227">
        <f t="shared" si="0"/>
        <v>-207</v>
      </c>
      <c r="P23" s="227">
        <f t="shared" si="1"/>
        <v>0</v>
      </c>
      <c r="Q23" s="47" t="s">
        <v>612</v>
      </c>
    </row>
    <row r="24" spans="2:17" ht="12" customHeight="1">
      <c r="B24" s="39"/>
      <c r="C24" s="63"/>
      <c r="D24" s="63"/>
      <c r="L24" s="47" t="s">
        <v>649</v>
      </c>
      <c r="M24" s="227">
        <v>-87000</v>
      </c>
      <c r="O24" s="227">
        <f t="shared" si="0"/>
        <v>-87</v>
      </c>
      <c r="P24" s="227">
        <f t="shared" si="1"/>
        <v>0</v>
      </c>
      <c r="Q24" s="71" t="s">
        <v>616</v>
      </c>
    </row>
    <row r="25" spans="2:17" ht="12" customHeight="1">
      <c r="B25" s="64"/>
      <c r="C25" s="43"/>
      <c r="D25" s="43"/>
      <c r="L25" s="47" t="s">
        <v>650</v>
      </c>
      <c r="M25" s="227">
        <v>-8700</v>
      </c>
      <c r="O25" s="227">
        <f t="shared" si="0"/>
        <v>-9</v>
      </c>
      <c r="P25" s="227">
        <f t="shared" si="1"/>
        <v>0</v>
      </c>
      <c r="Q25" s="47" t="s">
        <v>614</v>
      </c>
    </row>
    <row r="26" spans="2:17" ht="12" customHeight="1">
      <c r="B26" s="28"/>
      <c r="C26" s="28"/>
      <c r="D26" s="28"/>
      <c r="L26" s="47" t="s">
        <v>651</v>
      </c>
      <c r="M26" s="227">
        <v>-136300</v>
      </c>
      <c r="O26" s="227">
        <f t="shared" si="0"/>
        <v>-136</v>
      </c>
      <c r="P26" s="227">
        <f t="shared" si="1"/>
        <v>0</v>
      </c>
      <c r="Q26" s="47" t="s">
        <v>612</v>
      </c>
    </row>
    <row r="27" spans="2:17" ht="12" customHeight="1">
      <c r="B27" s="38"/>
      <c r="L27" s="47" t="s">
        <v>620</v>
      </c>
      <c r="N27" s="227">
        <v>-2467.65</v>
      </c>
      <c r="O27" s="227">
        <f t="shared" si="0"/>
        <v>0</v>
      </c>
      <c r="P27" s="227">
        <f t="shared" si="1"/>
        <v>-2</v>
      </c>
      <c r="Q27" s="47" t="s">
        <v>614</v>
      </c>
    </row>
    <row r="28" spans="2:17" ht="12" customHeight="1">
      <c r="B28" s="66"/>
      <c r="L28" s="47" t="s">
        <v>669</v>
      </c>
      <c r="N28" s="227">
        <v>-8068</v>
      </c>
      <c r="O28" s="227">
        <f t="shared" si="0"/>
        <v>0</v>
      </c>
      <c r="P28" s="227">
        <f t="shared" si="1"/>
        <v>-8</v>
      </c>
      <c r="Q28" s="47" t="s">
        <v>614</v>
      </c>
    </row>
    <row r="29" spans="2:17" ht="12" customHeight="1">
      <c r="L29" s="47" t="s">
        <v>670</v>
      </c>
      <c r="N29" s="227">
        <v>-1722106.7</v>
      </c>
      <c r="O29" s="227">
        <f t="shared" si="0"/>
        <v>0</v>
      </c>
      <c r="P29" s="227">
        <f t="shared" si="1"/>
        <v>-1722</v>
      </c>
      <c r="Q29" s="47" t="s">
        <v>612</v>
      </c>
    </row>
    <row r="30" spans="2:17" ht="12" customHeight="1">
      <c r="L30" s="47" t="s">
        <v>671</v>
      </c>
      <c r="N30" s="227">
        <v>-1160</v>
      </c>
      <c r="O30" s="227">
        <f t="shared" si="0"/>
        <v>0</v>
      </c>
      <c r="P30" s="227">
        <f t="shared" si="1"/>
        <v>-1</v>
      </c>
      <c r="Q30" s="47" t="s">
        <v>614</v>
      </c>
    </row>
    <row r="31" spans="2:17" ht="12" customHeight="1">
      <c r="L31" s="47" t="s">
        <v>672</v>
      </c>
      <c r="N31" s="227">
        <v>-416333.2</v>
      </c>
      <c r="O31" s="227">
        <f t="shared" si="0"/>
        <v>0</v>
      </c>
      <c r="P31" s="227">
        <f>+ROUND(N31/1000,0)+2</f>
        <v>-414</v>
      </c>
      <c r="Q31" s="47" t="s">
        <v>614</v>
      </c>
    </row>
    <row r="32" spans="2:17" ht="12" customHeight="1">
      <c r="L32" s="47" t="s">
        <v>673</v>
      </c>
      <c r="N32" s="227">
        <v>-59344.83</v>
      </c>
      <c r="O32" s="227">
        <f t="shared" si="0"/>
        <v>0</v>
      </c>
      <c r="P32" s="227">
        <f t="shared" si="1"/>
        <v>-59</v>
      </c>
      <c r="Q32" s="47" t="s">
        <v>612</v>
      </c>
    </row>
    <row r="33" spans="12:17" ht="12" customHeight="1">
      <c r="L33" s="47" t="s">
        <v>674</v>
      </c>
      <c r="N33" s="227">
        <v>-870000</v>
      </c>
      <c r="O33" s="227">
        <f t="shared" si="0"/>
        <v>0</v>
      </c>
      <c r="P33" s="227">
        <f t="shared" si="1"/>
        <v>-870</v>
      </c>
      <c r="Q33" s="71" t="s">
        <v>616</v>
      </c>
    </row>
    <row r="34" spans="12:17" ht="12" customHeight="1">
      <c r="L34" s="47" t="s">
        <v>675</v>
      </c>
      <c r="N34" s="227">
        <v>-15080</v>
      </c>
      <c r="O34" s="227">
        <f t="shared" si="0"/>
        <v>0</v>
      </c>
      <c r="P34" s="227">
        <f t="shared" si="1"/>
        <v>-15</v>
      </c>
      <c r="Q34" s="47" t="s">
        <v>612</v>
      </c>
    </row>
    <row r="35" spans="12:17" ht="12" customHeight="1">
      <c r="L35" s="47" t="s">
        <v>676</v>
      </c>
      <c r="N35" s="227">
        <v>-101110.7</v>
      </c>
      <c r="O35" s="227">
        <f t="shared" si="0"/>
        <v>0</v>
      </c>
      <c r="P35" s="227">
        <f t="shared" si="1"/>
        <v>-101</v>
      </c>
      <c r="Q35" s="47" t="s">
        <v>612</v>
      </c>
    </row>
    <row r="36" spans="12:17" ht="12" customHeight="1">
      <c r="L36" s="47" t="s">
        <v>677</v>
      </c>
      <c r="N36" s="227">
        <v>-52200</v>
      </c>
      <c r="O36" s="227">
        <f t="shared" si="0"/>
        <v>0</v>
      </c>
      <c r="P36" s="227">
        <f t="shared" si="1"/>
        <v>-52</v>
      </c>
      <c r="Q36" s="47" t="s">
        <v>612</v>
      </c>
    </row>
    <row r="37" spans="12:17" ht="12" customHeight="1">
      <c r="L37" s="47" t="s">
        <v>678</v>
      </c>
      <c r="N37" s="227">
        <v>-1421000</v>
      </c>
      <c r="O37" s="227">
        <f t="shared" si="0"/>
        <v>0</v>
      </c>
      <c r="P37" s="227">
        <f t="shared" si="1"/>
        <v>-1421</v>
      </c>
      <c r="Q37" s="47" t="s">
        <v>612</v>
      </c>
    </row>
    <row r="38" spans="12:17" ht="12" customHeight="1">
      <c r="L38" s="47" t="s">
        <v>679</v>
      </c>
      <c r="N38" s="227">
        <v>-153236</v>
      </c>
      <c r="O38" s="227">
        <f t="shared" si="0"/>
        <v>0</v>
      </c>
      <c r="P38" s="227">
        <f t="shared" si="1"/>
        <v>-153</v>
      </c>
      <c r="Q38" s="47" t="s">
        <v>612</v>
      </c>
    </row>
    <row r="39" spans="12:17" ht="12" customHeight="1">
      <c r="L39" s="47" t="s">
        <v>680</v>
      </c>
      <c r="N39" s="227">
        <v>-4638.84</v>
      </c>
      <c r="O39" s="227">
        <f t="shared" si="0"/>
        <v>0</v>
      </c>
      <c r="P39" s="227">
        <f t="shared" si="1"/>
        <v>-5</v>
      </c>
      <c r="Q39" s="71" t="s">
        <v>616</v>
      </c>
    </row>
    <row r="40" spans="12:17" ht="12" customHeight="1">
      <c r="L40" s="47" t="s">
        <v>681</v>
      </c>
      <c r="N40" s="227">
        <v>-50234.38</v>
      </c>
      <c r="O40" s="227">
        <f t="shared" si="0"/>
        <v>0</v>
      </c>
      <c r="P40" s="227">
        <f t="shared" si="1"/>
        <v>-50</v>
      </c>
      <c r="Q40" s="71" t="s">
        <v>616</v>
      </c>
    </row>
    <row r="41" spans="12:17" ht="12" customHeight="1">
      <c r="L41" s="47" t="s">
        <v>682</v>
      </c>
      <c r="N41" s="227">
        <v>-91640</v>
      </c>
      <c r="O41" s="227">
        <f t="shared" si="0"/>
        <v>0</v>
      </c>
      <c r="P41" s="227">
        <f t="shared" si="1"/>
        <v>-92</v>
      </c>
      <c r="Q41" s="71" t="s">
        <v>616</v>
      </c>
    </row>
    <row r="42" spans="12:17" ht="12" customHeight="1">
      <c r="L42" s="47" t="s">
        <v>656</v>
      </c>
      <c r="M42" s="227">
        <v>0</v>
      </c>
      <c r="O42" s="227">
        <f t="shared" si="0"/>
        <v>0</v>
      </c>
      <c r="Q42" s="71" t="s">
        <v>616</v>
      </c>
    </row>
    <row r="43" spans="12:17" ht="12" customHeight="1">
      <c r="L43" s="47" t="s">
        <v>657</v>
      </c>
      <c r="M43" s="227">
        <v>-500000</v>
      </c>
      <c r="O43" s="227">
        <f t="shared" si="0"/>
        <v>-500</v>
      </c>
      <c r="Q43" s="71" t="s">
        <v>616</v>
      </c>
    </row>
    <row r="44" spans="12:17" ht="12" customHeight="1">
      <c r="L44" s="47" t="s">
        <v>658</v>
      </c>
      <c r="M44" s="227">
        <v>-505000</v>
      </c>
      <c r="O44" s="227">
        <f t="shared" si="0"/>
        <v>-505</v>
      </c>
      <c r="Q44" s="71" t="s">
        <v>616</v>
      </c>
    </row>
  </sheetData>
  <mergeCells count="1">
    <mergeCell ref="E6:E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0613-B83F-4AD8-9FE3-E9A12906A23D}">
  <dimension ref="B2:I28"/>
  <sheetViews>
    <sheetView showGridLines="0" topLeftCell="B1" workbookViewId="0">
      <selection activeCell="F7" sqref="F7"/>
    </sheetView>
  </sheetViews>
  <sheetFormatPr baseColWidth="10" defaultRowHeight="15"/>
  <cols>
    <col min="1" max="1" width="11.42578125" style="47"/>
    <col min="2" max="2" width="86.7109375" style="47" customWidth="1"/>
    <col min="3" max="3" width="11.42578125" style="47"/>
    <col min="4" max="4" width="40" style="47" customWidth="1"/>
    <col min="5" max="5" width="2.85546875" style="47" customWidth="1"/>
    <col min="6" max="6" width="15" style="47" customWidth="1"/>
    <col min="7" max="7" width="3" style="47" customWidth="1"/>
    <col min="8" max="8" width="13.140625" style="47" customWidth="1"/>
    <col min="9" max="16384" width="11.42578125" style="47"/>
  </cols>
  <sheetData>
    <row r="2" spans="2:9">
      <c r="B2" s="38" t="s">
        <v>750</v>
      </c>
    </row>
    <row r="3" spans="2:9" ht="6" customHeight="1">
      <c r="B3" s="68"/>
    </row>
    <row r="4" spans="2:9" ht="12.75" customHeight="1">
      <c r="B4" s="69" t="s">
        <v>706</v>
      </c>
    </row>
    <row r="5" spans="2:9" ht="12.75" customHeight="1">
      <c r="B5" s="69"/>
    </row>
    <row r="6" spans="2:9">
      <c r="B6" s="69"/>
    </row>
    <row r="7" spans="2:9" ht="120">
      <c r="B7" s="69" t="s">
        <v>748</v>
      </c>
    </row>
    <row r="8" spans="2:9">
      <c r="B8" s="69"/>
      <c r="F8" s="70">
        <v>2024</v>
      </c>
      <c r="G8" s="266"/>
      <c r="H8" s="70">
        <v>2023</v>
      </c>
    </row>
    <row r="9" spans="2:9" ht="8.25" customHeight="1"/>
    <row r="10" spans="2:9">
      <c r="D10" s="47" t="s">
        <v>703</v>
      </c>
      <c r="E10" s="31" t="s">
        <v>356</v>
      </c>
      <c r="F10" s="280">
        <v>71045</v>
      </c>
      <c r="G10" s="31" t="s">
        <v>356</v>
      </c>
      <c r="H10" s="47" t="s">
        <v>705</v>
      </c>
    </row>
    <row r="11" spans="2:9">
      <c r="D11" s="47" t="s">
        <v>713</v>
      </c>
      <c r="F11" s="280">
        <f>203263+141589+8500</f>
        <v>353352</v>
      </c>
      <c r="H11" s="280">
        <f>3877+66418+950</f>
        <v>71245</v>
      </c>
    </row>
    <row r="12" spans="2:9">
      <c r="B12" s="39"/>
      <c r="D12" s="286" t="s">
        <v>704</v>
      </c>
      <c r="F12" s="261">
        <v>-19336</v>
      </c>
      <c r="H12" s="261">
        <v>-200</v>
      </c>
      <c r="I12" s="269"/>
    </row>
    <row r="13" spans="2:9">
      <c r="D13" s="286" t="s">
        <v>589</v>
      </c>
      <c r="E13" s="31" t="s">
        <v>356</v>
      </c>
      <c r="F13" s="252">
        <f>SUM(F10:F12)</f>
        <v>405061</v>
      </c>
      <c r="G13" s="31" t="s">
        <v>356</v>
      </c>
      <c r="H13" s="252">
        <f>SUM(H10:H12)</f>
        <v>71045</v>
      </c>
    </row>
    <row r="14" spans="2:9" ht="3.75" customHeight="1">
      <c r="B14" s="39"/>
      <c r="F14" s="214"/>
      <c r="G14" s="227"/>
      <c r="H14" s="214"/>
    </row>
    <row r="15" spans="2:9">
      <c r="B15" s="39"/>
      <c r="D15" s="286" t="s">
        <v>588</v>
      </c>
      <c r="F15" s="259">
        <f>-ROUND((SUMIF(BalanzaActual!$AI:$AI,D15,BalanzaActual!$Z:$Z)),0)</f>
        <v>2889</v>
      </c>
      <c r="G15" s="227"/>
      <c r="H15" s="259">
        <f>-ROUND((SUMIF(BalanzaActual!$AI:$AI,F15,BalanzaActual!$Z:$Z)),0)</f>
        <v>0</v>
      </c>
    </row>
    <row r="16" spans="2:9">
      <c r="B16" s="39"/>
      <c r="D16" s="286" t="s">
        <v>707</v>
      </c>
      <c r="E16" s="31" t="s">
        <v>356</v>
      </c>
      <c r="F16" s="287">
        <f>+F15+F13</f>
        <v>407950</v>
      </c>
      <c r="G16" s="31" t="s">
        <v>356</v>
      </c>
      <c r="H16" s="287">
        <f>+H15+H13</f>
        <v>71045</v>
      </c>
    </row>
    <row r="17" spans="2:9">
      <c r="B17" s="39"/>
      <c r="F17" s="227"/>
      <c r="G17" s="227"/>
      <c r="H17" s="227"/>
    </row>
    <row r="18" spans="2:9">
      <c r="F18" s="248">
        <f>+F16-BG!E35</f>
        <v>0</v>
      </c>
      <c r="G18" s="248"/>
      <c r="H18" s="248">
        <f>+H16-BG!G35</f>
        <v>0</v>
      </c>
      <c r="I18" s="249" t="s">
        <v>555</v>
      </c>
    </row>
    <row r="20" spans="2:9">
      <c r="B20" s="39"/>
    </row>
    <row r="22" spans="2:9">
      <c r="B22" s="39"/>
    </row>
    <row r="24" spans="2:9">
      <c r="B24" s="39"/>
    </row>
    <row r="25" spans="2:9">
      <c r="B25" s="64"/>
    </row>
    <row r="26" spans="2:9">
      <c r="B26" s="28"/>
    </row>
    <row r="27" spans="2:9">
      <c r="B27" s="38"/>
    </row>
    <row r="28" spans="2:9">
      <c r="B28" s="6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938A-3A46-471F-877C-333EFBB54094}">
  <sheetPr codeName="Hoja13"/>
  <dimension ref="B1:Q26"/>
  <sheetViews>
    <sheetView showGridLines="0" topLeftCell="B1" zoomScale="90" zoomScaleNormal="90" workbookViewId="0">
      <selection activeCell="F11" sqref="F11:J14"/>
    </sheetView>
  </sheetViews>
  <sheetFormatPr baseColWidth="10" defaultRowHeight="12" customHeight="1"/>
  <cols>
    <col min="1" max="1" width="11.42578125" style="47"/>
    <col min="2" max="2" width="86.7109375" style="47" customWidth="1"/>
    <col min="3" max="3" width="8.5703125" style="47" customWidth="1"/>
    <col min="4" max="4" width="8.7109375" style="47" customWidth="1"/>
    <col min="5" max="5" width="14.5703125" style="47" customWidth="1"/>
    <col min="6" max="6" width="47.7109375" style="47" customWidth="1"/>
    <col min="7" max="7" width="1.28515625" style="47" customWidth="1"/>
    <col min="8" max="8" width="14.7109375" style="47" customWidth="1"/>
    <col min="9" max="9" width="1.28515625" style="47" customWidth="1"/>
    <col min="10" max="10" width="14.7109375" style="47" customWidth="1"/>
    <col min="11" max="11" width="11.42578125" style="47"/>
    <col min="12" max="14" width="11.42578125" style="248"/>
    <col min="15" max="16384" width="11.42578125" style="47"/>
  </cols>
  <sheetData>
    <row r="1" spans="2:17" ht="15"/>
    <row r="2" spans="2:17" ht="15">
      <c r="B2" s="38"/>
    </row>
    <row r="3" spans="2:17" ht="12" customHeight="1">
      <c r="B3" s="68" t="s">
        <v>751</v>
      </c>
      <c r="F3" s="276"/>
      <c r="G3" s="276"/>
    </row>
    <row r="4" spans="2:17" ht="12" customHeight="1">
      <c r="B4" s="68"/>
      <c r="F4" s="69"/>
      <c r="G4" s="69"/>
    </row>
    <row r="5" spans="2:17" ht="45">
      <c r="B5" s="71" t="s">
        <v>596</v>
      </c>
    </row>
    <row r="6" spans="2:17" ht="3" customHeight="1">
      <c r="B6" s="69"/>
    </row>
    <row r="7" spans="2:17" ht="9" customHeight="1">
      <c r="B7" s="69"/>
    </row>
    <row r="8" spans="2:17" ht="89.25" customHeight="1">
      <c r="B8" s="71" t="s">
        <v>749</v>
      </c>
    </row>
    <row r="9" spans="2:17" ht="6.6" customHeight="1"/>
    <row r="10" spans="2:17" ht="47.25" customHeight="1">
      <c r="B10" s="71" t="s">
        <v>595</v>
      </c>
      <c r="C10" s="57"/>
      <c r="D10" s="57"/>
      <c r="E10" s="53"/>
      <c r="F10" s="53"/>
      <c r="G10" s="53"/>
    </row>
    <row r="11" spans="2:17" ht="12" customHeight="1">
      <c r="B11" s="39"/>
      <c r="C11" s="62"/>
      <c r="D11" s="62"/>
      <c r="G11" s="266"/>
      <c r="H11" s="70">
        <f>+Datos!C8</f>
        <v>2024</v>
      </c>
      <c r="I11" s="266"/>
      <c r="J11" s="70">
        <f>+Datos!C9</f>
        <v>2023</v>
      </c>
      <c r="P11" s="266"/>
      <c r="Q11" s="266"/>
    </row>
    <row r="12" spans="2:17" ht="12" customHeight="1">
      <c r="F12" s="71"/>
      <c r="G12" s="71"/>
      <c r="H12" s="71"/>
      <c r="I12" s="71"/>
      <c r="J12" s="71"/>
      <c r="P12" s="71"/>
      <c r="Q12" s="71"/>
    </row>
    <row r="13" spans="2:17" ht="12" customHeight="1">
      <c r="B13" s="39"/>
      <c r="F13" s="150" t="s">
        <v>318</v>
      </c>
      <c r="G13" s="35" t="s">
        <v>356</v>
      </c>
      <c r="H13" s="259">
        <f>+ROUND((-SUMIF(BalanzaActual!$AI:$AI,F13,BalanzaActual!$Z:$Z)),0)</f>
        <v>330000</v>
      </c>
      <c r="I13" s="35" t="s">
        <v>356</v>
      </c>
      <c r="J13" s="259">
        <f>+ROUND((-SUMIF(BalanzaAnterior!$AF:$AF,F13,BalanzaAnterior!$Y:$Y)),0)</f>
        <v>271000</v>
      </c>
      <c r="P13" s="73"/>
      <c r="Q13" s="74"/>
    </row>
    <row r="14" spans="2:17" ht="12" customHeight="1">
      <c r="B14" s="39"/>
      <c r="C14" s="62"/>
      <c r="D14" s="62"/>
      <c r="F14" s="150" t="s">
        <v>314</v>
      </c>
      <c r="G14" s="35" t="s">
        <v>356</v>
      </c>
      <c r="H14" s="252">
        <f>SUM(H13:H13)</f>
        <v>330000</v>
      </c>
      <c r="I14" s="35" t="s">
        <v>356</v>
      </c>
      <c r="J14" s="252">
        <f>SUM(J13:J13)</f>
        <v>271000</v>
      </c>
      <c r="P14" s="75"/>
      <c r="Q14" s="71"/>
    </row>
    <row r="15" spans="2:17" ht="12" customHeight="1">
      <c r="B15" s="39"/>
      <c r="C15" s="57"/>
      <c r="D15" s="57"/>
    </row>
    <row r="16" spans="2:17" ht="12" customHeight="1">
      <c r="C16" s="57"/>
      <c r="D16" s="57"/>
    </row>
    <row r="17" spans="2:11" ht="12" customHeight="1">
      <c r="H17" s="248">
        <f>+H14-BG!E36</f>
        <v>0</v>
      </c>
      <c r="J17" s="248">
        <f>+J14-BG!G36</f>
        <v>0</v>
      </c>
      <c r="K17" s="277" t="s">
        <v>315</v>
      </c>
    </row>
    <row r="18" spans="2:11" ht="12" customHeight="1">
      <c r="B18" s="39"/>
      <c r="C18" s="62"/>
      <c r="D18" s="62"/>
    </row>
    <row r="20" spans="2:11" ht="12" customHeight="1">
      <c r="B20" s="39"/>
      <c r="C20" s="61"/>
      <c r="D20" s="61"/>
    </row>
    <row r="22" spans="2:11" ht="12" customHeight="1">
      <c r="B22" s="39"/>
      <c r="C22" s="63"/>
      <c r="D22" s="63"/>
    </row>
    <row r="23" spans="2:11" ht="12" customHeight="1">
      <c r="B23" s="64"/>
      <c r="C23" s="43"/>
      <c r="D23" s="43"/>
    </row>
    <row r="24" spans="2:11" ht="12" customHeight="1">
      <c r="B24" s="28"/>
      <c r="C24" s="28"/>
      <c r="D24" s="28"/>
    </row>
    <row r="25" spans="2:11" ht="12" customHeight="1">
      <c r="B25" s="38"/>
    </row>
    <row r="26" spans="2:11" ht="12" customHeight="1">
      <c r="B26" s="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B678-17F9-4B85-874E-24949B1D97F5}">
  <sheetPr codeName="Hoja14"/>
  <dimension ref="B1:M39"/>
  <sheetViews>
    <sheetView showGridLines="0" zoomScale="90" zoomScaleNormal="90" workbookViewId="0">
      <selection activeCell="B4" sqref="B4"/>
    </sheetView>
  </sheetViews>
  <sheetFormatPr baseColWidth="10" defaultRowHeight="12" customHeight="1"/>
  <cols>
    <col min="1" max="1" width="11.42578125" style="47"/>
    <col min="2" max="2" width="86.7109375" style="47" customWidth="1"/>
    <col min="3" max="3" width="11.28515625" style="47" customWidth="1"/>
    <col min="4" max="4" width="11.42578125" style="47" customWidth="1"/>
    <col min="5" max="5" width="14.5703125" style="47" customWidth="1"/>
    <col min="6" max="6" width="30" style="47" bestFit="1" customWidth="1"/>
    <col min="7" max="7" width="1.28515625" style="47" customWidth="1"/>
    <col min="8" max="8" width="14.7109375" style="47" customWidth="1"/>
    <col min="9" max="9" width="1.28515625" style="47" customWidth="1"/>
    <col min="10" max="10" width="14.7109375" style="47" customWidth="1"/>
    <col min="11" max="16384" width="11.42578125" style="47"/>
  </cols>
  <sheetData>
    <row r="1" spans="2:13" ht="15"/>
    <row r="2" spans="2:13" ht="15">
      <c r="B2" s="38"/>
    </row>
    <row r="3" spans="2:13" ht="12" customHeight="1">
      <c r="B3" s="68" t="s">
        <v>752</v>
      </c>
      <c r="F3" s="276"/>
      <c r="G3" s="276"/>
    </row>
    <row r="4" spans="2:13" ht="2.25" customHeight="1">
      <c r="B4" s="68"/>
      <c r="F4" s="276"/>
      <c r="G4" s="276"/>
    </row>
    <row r="5" spans="2:13" ht="69.75" customHeight="1">
      <c r="B5" s="69" t="s">
        <v>319</v>
      </c>
      <c r="F5" s="276"/>
      <c r="G5" s="276"/>
    </row>
    <row r="6" spans="2:13" ht="1.5" customHeight="1">
      <c r="B6" s="69"/>
      <c r="F6" s="276"/>
      <c r="G6" s="276"/>
    </row>
    <row r="7" spans="2:13" ht="23.25" customHeight="1">
      <c r="B7" s="69" t="str">
        <f>+CONCATENATE(Datos!C14,", el saldo de estas aportaciones es de $ ",H18," y $ ",J18," respectivamente.")</f>
        <v>Al 31 de diciembre de 2024 y 2023, el saldo de estas aportaciones es de $ 125867 y $ 196719 respectivamente.</v>
      </c>
      <c r="F7" s="276"/>
      <c r="G7" s="276"/>
    </row>
    <row r="8" spans="2:13" ht="12" customHeight="1">
      <c r="F8" s="276"/>
      <c r="G8" s="276"/>
    </row>
    <row r="9" spans="2:13" ht="12" customHeight="1">
      <c r="B9" s="69"/>
      <c r="F9" s="276"/>
      <c r="G9" s="276"/>
    </row>
    <row r="10" spans="2:13" ht="12" customHeight="1">
      <c r="B10" s="266"/>
      <c r="C10" s="266"/>
      <c r="D10" s="266"/>
      <c r="F10" s="276"/>
      <c r="G10" s="276"/>
      <c r="L10" s="266"/>
      <c r="M10" s="266"/>
    </row>
    <row r="11" spans="2:13" ht="12" customHeight="1">
      <c r="B11" s="71"/>
      <c r="C11" s="71"/>
      <c r="D11" s="71"/>
      <c r="F11" s="276"/>
      <c r="G11" s="276"/>
      <c r="L11" s="71"/>
      <c r="M11" s="71"/>
    </row>
    <row r="12" spans="2:13" ht="12" customHeight="1">
      <c r="B12" s="71"/>
      <c r="C12" s="83"/>
      <c r="D12" s="84"/>
      <c r="F12" s="276"/>
      <c r="G12" s="276"/>
      <c r="L12" s="73"/>
      <c r="M12" s="74"/>
    </row>
    <row r="13" spans="2:13" ht="12" customHeight="1">
      <c r="B13" s="71"/>
      <c r="C13" s="85"/>
      <c r="D13" s="86"/>
      <c r="F13" s="276"/>
      <c r="G13" s="276"/>
      <c r="H13" s="276"/>
      <c r="I13" s="276"/>
      <c r="J13" s="288"/>
      <c r="L13" s="75"/>
      <c r="M13" s="71"/>
    </row>
    <row r="14" spans="2:13" ht="12" customHeight="1">
      <c r="B14" s="69"/>
      <c r="F14" s="276"/>
      <c r="G14" s="276"/>
    </row>
    <row r="15" spans="2:13" ht="15">
      <c r="B15" s="39"/>
      <c r="F15" s="276"/>
      <c r="G15" s="276"/>
    </row>
    <row r="16" spans="2:13" ht="12" customHeight="1">
      <c r="B16" s="39"/>
      <c r="C16" s="62"/>
      <c r="D16" s="62"/>
      <c r="E16" s="39"/>
      <c r="F16" s="39"/>
      <c r="G16" s="39"/>
      <c r="H16" s="70">
        <f>+Datos!C8</f>
        <v>2024</v>
      </c>
      <c r="I16" s="70"/>
      <c r="J16" s="70">
        <f>+Datos!C9</f>
        <v>2023</v>
      </c>
    </row>
    <row r="17" spans="2:11" ht="6.6" customHeight="1">
      <c r="B17" s="39"/>
      <c r="C17" s="62"/>
      <c r="D17" s="62"/>
      <c r="E17" s="44"/>
      <c r="F17" s="44"/>
      <c r="G17" s="44"/>
    </row>
    <row r="18" spans="2:11" ht="12" customHeight="1">
      <c r="B18" s="39"/>
      <c r="C18" s="62"/>
      <c r="D18" s="62"/>
      <c r="E18" s="39"/>
      <c r="F18" s="47" t="s">
        <v>127</v>
      </c>
      <c r="G18" s="35" t="s">
        <v>356</v>
      </c>
      <c r="H18" s="125">
        <f>+ROUND((-SUMIF(BalanzaActual!$AI:$AI,F18,BalanzaActual!$Z:$Z)),0)</f>
        <v>125867</v>
      </c>
      <c r="I18" s="35" t="s">
        <v>356</v>
      </c>
      <c r="J18" s="125">
        <f>+ROUND((-SUMIF(BalanzaAnterior!$AF:$AF,F18,BalanzaAnterior!$Y:$Y)),0)</f>
        <v>196719</v>
      </c>
    </row>
    <row r="19" spans="2:11" ht="12" customHeight="1">
      <c r="B19" s="39"/>
      <c r="C19" s="62"/>
      <c r="D19" s="62"/>
      <c r="E19" s="39"/>
      <c r="F19" s="39" t="s">
        <v>326</v>
      </c>
      <c r="G19" s="35" t="s">
        <v>356</v>
      </c>
      <c r="H19" s="281">
        <f>+H18</f>
        <v>125867</v>
      </c>
      <c r="I19" s="35" t="s">
        <v>356</v>
      </c>
      <c r="J19" s="281">
        <f>+J18</f>
        <v>196719</v>
      </c>
    </row>
    <row r="20" spans="2:11" ht="12" customHeight="1">
      <c r="C20" s="62"/>
      <c r="D20" s="62"/>
      <c r="E20" s="45"/>
      <c r="F20" s="39"/>
      <c r="G20" s="39"/>
    </row>
    <row r="21" spans="2:11" ht="12" customHeight="1">
      <c r="B21" s="39"/>
      <c r="C21" s="56"/>
      <c r="D21" s="56"/>
      <c r="E21" s="39"/>
      <c r="F21" s="39"/>
      <c r="G21" s="39"/>
      <c r="H21" s="278">
        <f>+BG!E37-H19</f>
        <v>0</v>
      </c>
      <c r="I21" s="278"/>
      <c r="J21" s="278">
        <f>+BG!G37-J19</f>
        <v>0</v>
      </c>
      <c r="K21" s="249" t="s">
        <v>315</v>
      </c>
    </row>
    <row r="22" spans="2:11" ht="12" customHeight="1">
      <c r="B22" s="39"/>
      <c r="C22" s="62"/>
      <c r="D22" s="62"/>
      <c r="E22" s="321"/>
      <c r="F22" s="321"/>
      <c r="G22" s="57"/>
    </row>
    <row r="23" spans="2:11" ht="12" customHeight="1">
      <c r="B23" s="39"/>
      <c r="C23" s="62"/>
      <c r="D23" s="62"/>
      <c r="E23" s="321"/>
      <c r="F23" s="321"/>
      <c r="G23" s="57"/>
    </row>
    <row r="24" spans="2:11" ht="12" customHeight="1">
      <c r="E24" s="39"/>
      <c r="F24" s="39"/>
      <c r="G24" s="39"/>
    </row>
    <row r="25" spans="2:11" ht="12" customHeight="1">
      <c r="B25" s="39"/>
      <c r="C25" s="57"/>
      <c r="D25" s="57"/>
      <c r="E25" s="53"/>
      <c r="F25" s="53"/>
      <c r="G25" s="53"/>
    </row>
    <row r="26" spans="2:11" ht="12" customHeight="1">
      <c r="B26" s="39"/>
      <c r="C26" s="62"/>
      <c r="D26" s="62"/>
      <c r="F26" s="276"/>
      <c r="G26" s="276"/>
    </row>
    <row r="27" spans="2:11" ht="12" customHeight="1">
      <c r="B27" s="39"/>
      <c r="F27" s="276"/>
      <c r="G27" s="276"/>
    </row>
    <row r="29" spans="2:11" ht="12" customHeight="1">
      <c r="C29" s="62"/>
      <c r="D29" s="62"/>
    </row>
    <row r="30" spans="2:11" ht="12" customHeight="1">
      <c r="B30" s="39"/>
      <c r="C30" s="57"/>
      <c r="D30" s="57"/>
    </row>
    <row r="31" spans="2:11" ht="12" customHeight="1">
      <c r="C31" s="57"/>
      <c r="D31" s="57"/>
    </row>
    <row r="32" spans="2:11" ht="12" customHeight="1">
      <c r="B32" s="39"/>
    </row>
    <row r="33" spans="2:4" ht="12" customHeight="1">
      <c r="C33" s="62"/>
      <c r="D33" s="62"/>
    </row>
    <row r="34" spans="2:4" ht="12" customHeight="1">
      <c r="B34" s="39"/>
    </row>
    <row r="35" spans="2:4" ht="12" customHeight="1">
      <c r="B35" s="64"/>
      <c r="C35" s="61"/>
      <c r="D35" s="61"/>
    </row>
    <row r="36" spans="2:4" ht="12" customHeight="1">
      <c r="B36" s="28"/>
    </row>
    <row r="37" spans="2:4" ht="12" customHeight="1">
      <c r="B37" s="38"/>
      <c r="C37" s="63"/>
      <c r="D37" s="63"/>
    </row>
    <row r="38" spans="2:4" ht="12" customHeight="1">
      <c r="B38" s="66"/>
      <c r="C38" s="43"/>
      <c r="D38" s="43"/>
    </row>
    <row r="39" spans="2:4" ht="12" customHeight="1">
      <c r="C39" s="28"/>
      <c r="D39" s="28"/>
    </row>
  </sheetData>
  <mergeCells count="2">
    <mergeCell ref="E22:E23"/>
    <mergeCell ref="F22:F2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FAEDC-7754-4396-B935-C8DAB3FA48E1}">
  <dimension ref="B6:B9"/>
  <sheetViews>
    <sheetView showGridLines="0" topLeftCell="A2" zoomScale="80" zoomScaleNormal="80" workbookViewId="0">
      <selection activeCell="B8" sqref="B8"/>
    </sheetView>
  </sheetViews>
  <sheetFormatPr baseColWidth="10" defaultRowHeight="13.5"/>
  <cols>
    <col min="1" max="1" width="5.28515625" customWidth="1"/>
    <col min="2" max="2" width="86.7109375" customWidth="1"/>
  </cols>
  <sheetData>
    <row r="6" spans="2:2" ht="15">
      <c r="B6" s="69"/>
    </row>
    <row r="7" spans="2:2" ht="12" customHeight="1">
      <c r="B7" s="68" t="s">
        <v>753</v>
      </c>
    </row>
    <row r="8" spans="2:2" ht="5.45" customHeight="1">
      <c r="B8" s="68"/>
    </row>
    <row r="9" spans="2:2" ht="85.5" customHeight="1">
      <c r="B9" s="69" t="s">
        <v>406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63E7-8617-4E42-A763-99EE01250CAC}">
  <sheetPr codeName="Hoja15"/>
  <dimension ref="B1:L37"/>
  <sheetViews>
    <sheetView showGridLines="0" topLeftCell="C18" zoomScale="130" zoomScaleNormal="130" workbookViewId="0">
      <selection activeCell="K34" sqref="D31:K34"/>
    </sheetView>
  </sheetViews>
  <sheetFormatPr baseColWidth="10" defaultRowHeight="12" customHeight="1"/>
  <cols>
    <col min="2" max="2" width="86.7109375" customWidth="1"/>
    <col min="3" max="3" width="8.7109375" customWidth="1"/>
    <col min="4" max="4" width="30.28515625" customWidth="1"/>
    <col min="5" max="5" width="1.28515625" customWidth="1"/>
    <col min="6" max="6" width="3" customWidth="1"/>
    <col min="7" max="7" width="17" customWidth="1"/>
    <col min="8" max="8" width="1.28515625" customWidth="1"/>
    <col min="9" max="9" width="14.7109375" customWidth="1"/>
    <col min="10" max="10" width="1.28515625" customWidth="1"/>
    <col min="11" max="11" width="14.7109375" customWidth="1"/>
  </cols>
  <sheetData>
    <row r="1" spans="2:4" ht="13.5"/>
    <row r="2" spans="2:4" ht="15">
      <c r="B2" s="38"/>
    </row>
    <row r="3" spans="2:4" ht="12" customHeight="1">
      <c r="B3" s="68" t="s">
        <v>754</v>
      </c>
    </row>
    <row r="4" spans="2:4" ht="7.15" customHeight="1">
      <c r="B4" s="76"/>
    </row>
    <row r="5" spans="2:4" ht="30">
      <c r="B5" s="69" t="str">
        <f>+CONCATENATE(Datos!C14,D5)</f>
        <v>Al 31 de diciembre de 2024 y 2023, las aportaciones de patrimonio al fideicomiso fueron de la siguiente forma:</v>
      </c>
      <c r="D5" t="s">
        <v>430</v>
      </c>
    </row>
    <row r="6" spans="2:4" ht="3" customHeight="1">
      <c r="B6" s="39"/>
    </row>
    <row r="7" spans="2:4" ht="2.25" customHeight="1">
      <c r="B7" s="39"/>
    </row>
    <row r="8" spans="2:4" ht="15">
      <c r="B8" s="69" t="s">
        <v>403</v>
      </c>
    </row>
    <row r="9" spans="2:4" ht="3" customHeight="1">
      <c r="B9" s="69"/>
    </row>
    <row r="10" spans="2:4" ht="15">
      <c r="B10" s="140" t="s">
        <v>407</v>
      </c>
    </row>
    <row r="11" spans="2:4" ht="3" customHeight="1">
      <c r="B11" s="69"/>
    </row>
    <row r="12" spans="2:4" ht="45">
      <c r="B12" s="140" t="s">
        <v>408</v>
      </c>
    </row>
    <row r="13" spans="2:4" ht="3.75" customHeight="1">
      <c r="B13" s="69"/>
    </row>
    <row r="14" spans="2:4" ht="45">
      <c r="B14" s="140" t="s">
        <v>619</v>
      </c>
    </row>
    <row r="15" spans="2:4" ht="3.75" customHeight="1">
      <c r="B15" s="69"/>
    </row>
    <row r="16" spans="2:4" ht="40.5" customHeight="1">
      <c r="B16" s="140" t="s">
        <v>409</v>
      </c>
    </row>
    <row r="17" spans="2:11" ht="3.75" customHeight="1">
      <c r="B17" s="69"/>
    </row>
    <row r="18" spans="2:11" ht="60">
      <c r="B18" s="69" t="s">
        <v>410</v>
      </c>
    </row>
    <row r="19" spans="2:11" ht="3" customHeight="1">
      <c r="B19" s="69"/>
    </row>
    <row r="20" spans="2:11" ht="45">
      <c r="B20" s="69" t="s">
        <v>411</v>
      </c>
    </row>
    <row r="21" spans="2:11" ht="3.75" customHeight="1">
      <c r="B21" s="69"/>
    </row>
    <row r="22" spans="2:11" ht="15">
      <c r="B22" s="69" t="s">
        <v>412</v>
      </c>
    </row>
    <row r="23" spans="2:11" ht="15">
      <c r="B23" s="69" t="s">
        <v>413</v>
      </c>
    </row>
    <row r="28" spans="2:11" ht="8.4499999999999993" customHeight="1">
      <c r="G28" s="70"/>
      <c r="H28" s="70"/>
      <c r="I28" s="70"/>
      <c r="J28" s="70"/>
    </row>
    <row r="29" spans="2:11" ht="12" customHeight="1">
      <c r="G29" s="71"/>
      <c r="H29" s="71"/>
      <c r="I29" s="71"/>
      <c r="J29" s="71"/>
    </row>
    <row r="30" spans="2:11" ht="12" customHeight="1">
      <c r="G30" s="73"/>
      <c r="H30" s="73"/>
      <c r="I30" s="74"/>
      <c r="J30" s="74"/>
    </row>
    <row r="31" spans="2:11" ht="12" customHeight="1">
      <c r="C31" s="21"/>
      <c r="D31" s="77" t="s">
        <v>320</v>
      </c>
      <c r="E31" s="70"/>
      <c r="G31" s="70" t="s">
        <v>321</v>
      </c>
      <c r="H31" s="70"/>
      <c r="I31" s="70">
        <f>+Datos!C8</f>
        <v>2024</v>
      </c>
      <c r="J31" s="70"/>
      <c r="K31" s="70">
        <f>+Datos!C9</f>
        <v>2023</v>
      </c>
    </row>
    <row r="32" spans="2:11" ht="6" customHeight="1">
      <c r="B32" s="69"/>
      <c r="D32" s="71"/>
      <c r="E32" s="71"/>
      <c r="G32" s="71"/>
      <c r="H32" s="71"/>
      <c r="I32" s="71"/>
      <c r="J32" s="71"/>
      <c r="K32" s="71"/>
    </row>
    <row r="33" spans="2:12" ht="11.25" customHeight="1">
      <c r="B33" s="39"/>
      <c r="D33" s="69" t="s">
        <v>328</v>
      </c>
      <c r="E33" s="71"/>
      <c r="G33" s="156">
        <v>1</v>
      </c>
      <c r="H33" s="153" t="s">
        <v>356</v>
      </c>
      <c r="I33" s="259">
        <f>+ROUND((-SUMIF(BalanzaActual!$AI:$AI,D33,BalanzaActual!$Z:$Z)),0)</f>
        <v>272972</v>
      </c>
      <c r="J33" s="153" t="s">
        <v>356</v>
      </c>
      <c r="K33" s="259">
        <f>+ROUND((-SUMIF(BalanzaAnterior!$AF:$AF,D33,BalanzaAnterior!$Y:$Y)),0)</f>
        <v>272972</v>
      </c>
    </row>
    <row r="34" spans="2:12" ht="11.25" customHeight="1">
      <c r="B34" s="39"/>
      <c r="D34" s="71" t="s">
        <v>323</v>
      </c>
      <c r="E34" s="71"/>
      <c r="G34" s="157">
        <v>1</v>
      </c>
      <c r="H34" s="153" t="s">
        <v>356</v>
      </c>
      <c r="I34" s="260">
        <f>SUM(I33)</f>
        <v>272972</v>
      </c>
      <c r="J34" s="153" t="s">
        <v>356</v>
      </c>
      <c r="K34" s="290">
        <f>SUM(K33)</f>
        <v>272972</v>
      </c>
    </row>
    <row r="35" spans="2:12" ht="12" customHeight="1">
      <c r="B35" s="39"/>
    </row>
    <row r="36" spans="2:12" ht="12" customHeight="1">
      <c r="B36" s="39"/>
      <c r="I36" s="289">
        <f>+I34-BG!E43</f>
        <v>0</v>
      </c>
      <c r="J36" s="230"/>
      <c r="K36" s="289">
        <f>+K34-BG!G43</f>
        <v>0</v>
      </c>
      <c r="L36" s="230" t="s">
        <v>555</v>
      </c>
    </row>
    <row r="37" spans="2:12" ht="12" customHeight="1">
      <c r="B37" s="5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4052-8360-4ACC-9306-C2B57FFFB0B0}">
  <sheetPr codeName="Hoja16"/>
  <dimension ref="B1:M32"/>
  <sheetViews>
    <sheetView showGridLines="0" topLeftCell="C6" zoomScale="90" zoomScaleNormal="90" workbookViewId="0">
      <selection activeCell="F16" sqref="F16:L32"/>
    </sheetView>
  </sheetViews>
  <sheetFormatPr baseColWidth="10" defaultRowHeight="12" customHeight="1"/>
  <cols>
    <col min="2" max="2" width="86.7109375" customWidth="1"/>
    <col min="3" max="5" width="14.5703125" customWidth="1"/>
    <col min="6" max="6" width="45.5703125" customWidth="1"/>
    <col min="7" max="7" width="3.42578125" customWidth="1"/>
    <col min="8" max="8" width="13.28515625" customWidth="1"/>
    <col min="9" max="9" width="1.28515625" customWidth="1"/>
    <col min="10" max="10" width="12.7109375" bestFit="1" customWidth="1"/>
    <col min="11" max="11" width="1.28515625" customWidth="1"/>
    <col min="12" max="12" width="13.28515625" customWidth="1"/>
  </cols>
  <sheetData>
    <row r="1" spans="2:13" ht="13.5"/>
    <row r="2" spans="2:13" ht="15">
      <c r="B2" s="38"/>
    </row>
    <row r="3" spans="2:13" ht="12" customHeight="1">
      <c r="B3" s="68" t="s">
        <v>755</v>
      </c>
    </row>
    <row r="4" spans="2:13" ht="1.5" customHeight="1">
      <c r="B4" s="76"/>
    </row>
    <row r="5" spans="2:13" ht="37.15" customHeight="1">
      <c r="B5" s="69" t="str">
        <f>+CONCATENATE(F5,LOWER(Datos!C18),":")</f>
        <v>A continuación, se muestran los plazos de vencimientos de los principales rubros de activo y pasivo al 31 de diciembre de 2024 y 2023:</v>
      </c>
      <c r="F5" s="69" t="s">
        <v>431</v>
      </c>
    </row>
    <row r="6" spans="2:13" ht="12" customHeight="1">
      <c r="B6" s="69"/>
    </row>
    <row r="7" spans="2:13" ht="15">
      <c r="B7" s="69"/>
      <c r="D7" s="78"/>
    </row>
    <row r="8" spans="2:13" ht="12" customHeight="1">
      <c r="D8" s="71"/>
    </row>
    <row r="9" spans="2:13" ht="15">
      <c r="D9" s="83"/>
    </row>
    <row r="10" spans="2:13" ht="12" customHeight="1">
      <c r="D10" s="30"/>
      <c r="H10" s="70"/>
      <c r="J10" s="70"/>
      <c r="K10" s="70"/>
      <c r="L10" s="70"/>
    </row>
    <row r="11" spans="2:13" ht="12" customHeight="1">
      <c r="B11" s="65"/>
      <c r="C11" s="58"/>
    </row>
    <row r="12" spans="2:13" ht="12" customHeight="1">
      <c r="B12" s="38"/>
      <c r="C12" s="63"/>
    </row>
    <row r="13" spans="2:13" ht="12" customHeight="1">
      <c r="B13" s="66"/>
      <c r="C13" s="43"/>
    </row>
    <row r="14" spans="2:13" ht="12" customHeight="1">
      <c r="C14" s="65"/>
    </row>
    <row r="16" spans="2:13" ht="12" customHeight="1">
      <c r="F16" s="181" t="str">
        <f>BG!B12</f>
        <v>Activos</v>
      </c>
      <c r="G16" s="182"/>
      <c r="H16" s="70" t="s">
        <v>324</v>
      </c>
      <c r="I16" s="182">
        <f>BG!D12</f>
        <v>0</v>
      </c>
      <c r="J16" s="70" t="s">
        <v>325</v>
      </c>
      <c r="K16" s="182">
        <f>BG!F12</f>
        <v>0</v>
      </c>
      <c r="L16" s="70" t="s">
        <v>326</v>
      </c>
      <c r="M16" s="256" t="s">
        <v>315</v>
      </c>
    </row>
    <row r="17" spans="6:13" ht="12" customHeight="1">
      <c r="F17" s="28"/>
      <c r="G17" s="41"/>
      <c r="H17" s="28"/>
      <c r="I17" s="41"/>
      <c r="J17" s="28"/>
      <c r="K17" s="41"/>
      <c r="L17" s="28"/>
      <c r="M17" s="230"/>
    </row>
    <row r="18" spans="6:13" ht="12" customHeight="1">
      <c r="F18" s="30" t="str">
        <f>BG!B14</f>
        <v>Efectivo y equivalentes de efectivo</v>
      </c>
      <c r="G18" s="35" t="s">
        <v>356</v>
      </c>
      <c r="H18" s="35">
        <f>+BG!E14</f>
        <v>42719</v>
      </c>
      <c r="I18" s="35" t="s">
        <v>356</v>
      </c>
      <c r="J18" s="128">
        <v>0</v>
      </c>
      <c r="K18" s="35" t="s">
        <v>356</v>
      </c>
      <c r="L18" s="35">
        <f>SUM(H18:J18)</f>
        <v>42719</v>
      </c>
      <c r="M18" s="209">
        <f>+L18-BG!E14</f>
        <v>0</v>
      </c>
    </row>
    <row r="19" spans="6:13" ht="12" customHeight="1">
      <c r="F19" s="30" t="str">
        <f>BG!B15</f>
        <v>Deudores diversos y otras cuentas por cobrar</v>
      </c>
      <c r="G19" s="35"/>
      <c r="H19" s="45">
        <f>+BG!E15</f>
        <v>24099</v>
      </c>
      <c r="I19" s="35"/>
      <c r="J19" s="128">
        <v>0</v>
      </c>
      <c r="K19" s="35"/>
      <c r="L19" s="35">
        <f>SUM(H19:J19)</f>
        <v>24099</v>
      </c>
      <c r="M19" s="237">
        <f>+L19-BG!E15</f>
        <v>0</v>
      </c>
    </row>
    <row r="20" spans="6:13" ht="12" customHeight="1">
      <c r="F20" s="30" t="str">
        <f>BG!B16</f>
        <v>Cuentas por cobrar a partes relacionadas</v>
      </c>
      <c r="G20" s="35"/>
      <c r="H20" s="45">
        <f>+BG!E16</f>
        <v>943</v>
      </c>
      <c r="I20" s="35"/>
      <c r="J20" s="128">
        <v>0</v>
      </c>
      <c r="K20" s="35"/>
      <c r="L20" s="35">
        <f>SUM(H20:J20)</f>
        <v>943</v>
      </c>
      <c r="M20" s="237">
        <f>+L20-BG!E16</f>
        <v>0</v>
      </c>
    </row>
    <row r="21" spans="6:13" ht="12" customHeight="1">
      <c r="F21" s="30" t="str">
        <f>+BG!B20</f>
        <v xml:space="preserve">Inventarios inmobiliarios y costos pagados por anticipado </v>
      </c>
      <c r="G21" s="35"/>
      <c r="H21" s="128">
        <v>0</v>
      </c>
      <c r="I21" s="35"/>
      <c r="J21" s="45">
        <f>+BG!E20</f>
        <v>1085783</v>
      </c>
      <c r="K21" s="35"/>
      <c r="L21" s="35">
        <f>SUM(H21:J21)</f>
        <v>1085783</v>
      </c>
      <c r="M21" s="257">
        <f>+L21-BG!E20</f>
        <v>0</v>
      </c>
    </row>
    <row r="22" spans="6:13" ht="12" customHeight="1">
      <c r="F22" s="30" t="str">
        <f>+BG!B22</f>
        <v>Impuestos por recuperar</v>
      </c>
      <c r="G22" s="35"/>
      <c r="H22" s="151">
        <v>0</v>
      </c>
      <c r="I22" s="35"/>
      <c r="J22" s="125">
        <f>+BG!E22</f>
        <v>291</v>
      </c>
      <c r="K22" s="35"/>
      <c r="L22" s="183">
        <f>SUM(H22:J22)</f>
        <v>291</v>
      </c>
      <c r="M22" s="237">
        <f>+L22-BG!E22</f>
        <v>0</v>
      </c>
    </row>
    <row r="23" spans="6:13" ht="12" customHeight="1">
      <c r="F23" s="34" t="s">
        <v>509</v>
      </c>
      <c r="G23" s="35" t="s">
        <v>356</v>
      </c>
      <c r="H23" s="35">
        <f>SUM(H18:H22)</f>
        <v>67761</v>
      </c>
      <c r="I23" s="35" t="s">
        <v>356</v>
      </c>
      <c r="J23" s="35">
        <f>SUM(J18:J22)</f>
        <v>1086074</v>
      </c>
      <c r="K23" s="35" t="s">
        <v>356</v>
      </c>
      <c r="L23" s="35">
        <f>SUM(L18:L22)</f>
        <v>1153835</v>
      </c>
      <c r="M23" s="230"/>
    </row>
    <row r="24" spans="6:13" ht="12" customHeight="1">
      <c r="G24" s="35"/>
      <c r="I24" s="35"/>
      <c r="K24" s="35"/>
      <c r="M24" s="230"/>
    </row>
    <row r="25" spans="6:13" ht="12" customHeight="1">
      <c r="F25" s="181" t="str">
        <f>BG!B27</f>
        <v>Pasivos</v>
      </c>
      <c r="G25" s="35"/>
      <c r="H25" s="70" t="s">
        <v>324</v>
      </c>
      <c r="I25" s="35">
        <f>BG!D19</f>
        <v>0</v>
      </c>
      <c r="J25" s="70" t="s">
        <v>325</v>
      </c>
      <c r="K25" s="35">
        <f>BG!F19</f>
        <v>0</v>
      </c>
      <c r="L25" s="70" t="s">
        <v>326</v>
      </c>
      <c r="M25" s="230"/>
    </row>
    <row r="26" spans="6:13" ht="12" customHeight="1">
      <c r="F26" s="28"/>
      <c r="G26" s="35"/>
      <c r="H26" s="35"/>
      <c r="I26" s="35"/>
      <c r="J26" s="35"/>
      <c r="K26" s="35"/>
      <c r="L26" s="35"/>
      <c r="M26" s="230"/>
    </row>
    <row r="27" spans="6:13" ht="12" customHeight="1">
      <c r="F27" s="30" t="str">
        <f>BG!B29</f>
        <v>Proveedores y acreedores diversos</v>
      </c>
      <c r="G27" s="35" t="s">
        <v>356</v>
      </c>
      <c r="H27" s="35">
        <f>+BG!E29</f>
        <v>35778</v>
      </c>
      <c r="I27" s="35" t="s">
        <v>356</v>
      </c>
      <c r="J27" s="128">
        <v>0</v>
      </c>
      <c r="K27" s="35" t="s">
        <v>356</v>
      </c>
      <c r="L27" s="35">
        <f>SUM(H27:J27)</f>
        <v>35778</v>
      </c>
      <c r="M27" s="257">
        <f>+L27-BG!E29</f>
        <v>0</v>
      </c>
    </row>
    <row r="28" spans="6:13" ht="12" customHeight="1">
      <c r="F28" s="30" t="str">
        <f>BG!B30</f>
        <v>Cuentas por pagar a partes relacionadas</v>
      </c>
      <c r="G28" s="35"/>
      <c r="H28" s="35">
        <f>+BG!E30</f>
        <v>2183</v>
      </c>
      <c r="I28" s="35"/>
      <c r="J28" s="128">
        <v>0</v>
      </c>
      <c r="K28" s="35"/>
      <c r="L28" s="35">
        <f>SUM(H28:J28)</f>
        <v>2183</v>
      </c>
      <c r="M28" s="257">
        <f>+L28-BG!E30</f>
        <v>0</v>
      </c>
    </row>
    <row r="29" spans="6:13" ht="12" customHeight="1">
      <c r="F29" s="30" t="str">
        <f>+BG!B35</f>
        <v>Depósitos en garantía recibidos</v>
      </c>
      <c r="G29" s="35"/>
      <c r="H29" s="128">
        <v>0</v>
      </c>
      <c r="I29" s="35"/>
      <c r="J29" s="35">
        <f>+BG!E35</f>
        <v>407950</v>
      </c>
      <c r="K29" s="35"/>
      <c r="L29" s="35">
        <f>SUM(H29:J29)</f>
        <v>407950</v>
      </c>
      <c r="M29" s="237">
        <f>+L29-BG!E35</f>
        <v>0</v>
      </c>
    </row>
    <row r="30" spans="6:13" ht="12" customHeight="1">
      <c r="F30" s="30" t="str">
        <f>+BG!B36</f>
        <v xml:space="preserve">Préstamos a largo plazo  </v>
      </c>
      <c r="G30" s="35"/>
      <c r="H30" s="128">
        <v>0</v>
      </c>
      <c r="I30" s="35"/>
      <c r="J30" s="35">
        <f>+BG!E36</f>
        <v>330000</v>
      </c>
      <c r="K30" s="35"/>
      <c r="L30" s="35">
        <f>SUM(H30:J30)</f>
        <v>330000</v>
      </c>
      <c r="M30" s="209">
        <f>+L30-BG!E36</f>
        <v>0</v>
      </c>
    </row>
    <row r="31" spans="6:13" ht="12" customHeight="1">
      <c r="F31" s="30" t="str">
        <f>+BG!B37</f>
        <v>Otras aportaciones del Fideicomitente</v>
      </c>
      <c r="G31" s="35"/>
      <c r="H31" s="151">
        <v>0</v>
      </c>
      <c r="I31" s="35"/>
      <c r="J31" s="125">
        <f>+BG!E37</f>
        <v>125867</v>
      </c>
      <c r="K31" s="35"/>
      <c r="L31" s="183">
        <f>SUM(H31:J31)</f>
        <v>125867</v>
      </c>
      <c r="M31" s="237">
        <f>+L31-BG!E37</f>
        <v>0</v>
      </c>
    </row>
    <row r="32" spans="6:13" ht="12" customHeight="1">
      <c r="F32" s="34" t="s">
        <v>510</v>
      </c>
      <c r="G32" s="35" t="s">
        <v>356</v>
      </c>
      <c r="H32" s="35">
        <f>SUM(H27:H31)</f>
        <v>37961</v>
      </c>
      <c r="I32" s="35" t="s">
        <v>356</v>
      </c>
      <c r="J32" s="35">
        <f>SUM(J27:J31)</f>
        <v>863817</v>
      </c>
      <c r="K32" s="35" t="s">
        <v>356</v>
      </c>
      <c r="L32" s="35">
        <f>SUM(L27:L31)</f>
        <v>901778</v>
      </c>
      <c r="M32" s="23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7E0E-FECE-4D5D-9808-A4A36357692E}">
  <sheetPr codeName="Hoja17"/>
  <dimension ref="B1:S89"/>
  <sheetViews>
    <sheetView showGridLines="0" topLeftCell="A11" zoomScale="90" zoomScaleNormal="90" workbookViewId="0">
      <selection activeCell="F11" sqref="E11:I33"/>
    </sheetView>
  </sheetViews>
  <sheetFormatPr baseColWidth="10" defaultRowHeight="12" customHeight="1"/>
  <cols>
    <col min="2" max="2" width="86.7109375" customWidth="1"/>
    <col min="3" max="3" width="6.28515625" customWidth="1"/>
    <col min="4" max="4" width="14.5703125" customWidth="1"/>
    <col min="5" max="5" width="37.42578125" customWidth="1"/>
    <col min="6" max="6" width="1.28515625" customWidth="1"/>
    <col min="7" max="7" width="14.7109375" customWidth="1"/>
    <col min="8" max="8" width="1.28515625" customWidth="1"/>
    <col min="9" max="9" width="14.7109375" customWidth="1"/>
    <col min="14" max="14" width="56.140625" style="300" customWidth="1"/>
    <col min="15" max="15" width="12.42578125" style="301" customWidth="1"/>
    <col min="16" max="16" width="12.42578125" style="301" hidden="1" customWidth="1"/>
    <col min="17" max="17" width="17.5703125" style="300" customWidth="1"/>
    <col min="18" max="18" width="15.28515625" style="300" customWidth="1"/>
    <col min="19" max="19" width="11.42578125" style="300"/>
  </cols>
  <sheetData>
    <row r="1" spans="2:19" ht="15"/>
    <row r="3" spans="2:19" ht="15">
      <c r="B3" s="68" t="s">
        <v>756</v>
      </c>
    </row>
    <row r="4" spans="2:19" ht="12" customHeight="1">
      <c r="B4" s="76"/>
      <c r="G4" s="70"/>
      <c r="H4" s="70"/>
      <c r="I4" s="70"/>
    </row>
    <row r="5" spans="2:19" ht="12" customHeight="1">
      <c r="B5" s="69" t="str">
        <f>+CONCATENATE(Datos!C14,E5)</f>
        <v>Al 31 de diciembre de 2024 y 2023, los saldos con partes relacionadas se integran como sigue:</v>
      </c>
      <c r="E5" t="s">
        <v>432</v>
      </c>
      <c r="G5" s="71"/>
      <c r="H5" s="71"/>
      <c r="I5" s="71"/>
    </row>
    <row r="6" spans="2:19" ht="7.15" customHeight="1">
      <c r="B6" s="39"/>
      <c r="G6" s="73"/>
      <c r="H6" s="73"/>
      <c r="I6" s="74"/>
    </row>
    <row r="7" spans="2:19" ht="9" customHeight="1">
      <c r="D7" s="21"/>
      <c r="E7" s="72"/>
      <c r="G7" s="75"/>
      <c r="H7" s="75"/>
      <c r="I7" s="71"/>
    </row>
    <row r="9" spans="2:19" ht="9" customHeight="1"/>
    <row r="11" spans="2:19" ht="12" customHeight="1">
      <c r="E11" s="79"/>
      <c r="F11" s="266"/>
      <c r="G11" s="70">
        <f>+Datos!C8</f>
        <v>2024</v>
      </c>
      <c r="H11" s="70"/>
      <c r="I11" s="70">
        <f>+Datos!C9</f>
        <v>2023</v>
      </c>
    </row>
    <row r="12" spans="2:19" ht="9.75" customHeight="1">
      <c r="E12" s="77" t="s">
        <v>692</v>
      </c>
      <c r="F12" s="79"/>
      <c r="G12" s="79"/>
      <c r="H12" s="79"/>
      <c r="I12" s="79"/>
    </row>
    <row r="13" spans="2:19" ht="8.25" customHeight="1">
      <c r="B13" s="39"/>
      <c r="E13" s="79"/>
      <c r="F13" s="79"/>
      <c r="G13" s="79"/>
      <c r="H13" s="79"/>
      <c r="I13" s="79"/>
    </row>
    <row r="14" spans="2:19" ht="10.5" customHeight="1">
      <c r="B14" s="154"/>
      <c r="E14" s="150" t="s">
        <v>693</v>
      </c>
      <c r="F14" s="71" t="s">
        <v>356</v>
      </c>
      <c r="G14" s="260">
        <f>ROUND(+O29/1000,0)</f>
        <v>715</v>
      </c>
      <c r="H14" s="71" t="s">
        <v>356</v>
      </c>
      <c r="I14" s="260">
        <f>+ROUND(Q29/1000,0)</f>
        <v>715</v>
      </c>
      <c r="N14" s="300" t="s">
        <v>668</v>
      </c>
      <c r="O14" s="302" t="s">
        <v>635</v>
      </c>
      <c r="P14" s="303" t="s">
        <v>666</v>
      </c>
      <c r="Q14" s="27" t="s">
        <v>636</v>
      </c>
      <c r="R14" s="27" t="s">
        <v>663</v>
      </c>
      <c r="S14" s="27" t="s">
        <v>664</v>
      </c>
    </row>
    <row r="15" spans="2:19" ht="10.5" customHeight="1">
      <c r="E15" s="150" t="s">
        <v>694</v>
      </c>
      <c r="F15" s="47"/>
      <c r="G15" s="260">
        <f t="shared" ref="G15:G16" si="0">ROUND(+O30/1000,0)</f>
        <v>85</v>
      </c>
      <c r="H15" s="310"/>
      <c r="I15" s="260">
        <f t="shared" ref="I15:I16" si="1">+ROUND(Q30/1000,0)</f>
        <v>85</v>
      </c>
      <c r="N15" s="300" t="s">
        <v>621</v>
      </c>
      <c r="O15" s="304">
        <v>714904.52</v>
      </c>
      <c r="P15" s="305">
        <f>+O15/1000</f>
        <v>714.90452000000005</v>
      </c>
      <c r="Q15" s="301">
        <v>0</v>
      </c>
      <c r="R15" s="308">
        <f>+P15-Q15</f>
        <v>714.90452000000005</v>
      </c>
      <c r="S15" s="300" t="s">
        <v>663</v>
      </c>
    </row>
    <row r="16" spans="2:19" ht="10.5" customHeight="1">
      <c r="E16" s="150" t="s">
        <v>695</v>
      </c>
      <c r="F16" s="47"/>
      <c r="G16" s="259">
        <f t="shared" si="0"/>
        <v>143</v>
      </c>
      <c r="H16" s="310"/>
      <c r="I16" s="259">
        <f t="shared" si="1"/>
        <v>143</v>
      </c>
      <c r="N16" s="300" t="s">
        <v>622</v>
      </c>
      <c r="O16" s="304">
        <v>85231.32</v>
      </c>
      <c r="P16" s="305">
        <f t="shared" ref="P16" si="2">+O16/1000</f>
        <v>85.231320000000011</v>
      </c>
      <c r="Q16" s="301">
        <v>85231.32</v>
      </c>
      <c r="R16" s="308">
        <f>+O16-Q16</f>
        <v>0</v>
      </c>
      <c r="S16" s="300" t="s">
        <v>684</v>
      </c>
    </row>
    <row r="17" spans="2:19" ht="10.5" customHeight="1">
      <c r="E17" s="150" t="s">
        <v>314</v>
      </c>
      <c r="F17" s="71" t="s">
        <v>356</v>
      </c>
      <c r="G17" s="260">
        <f>SUM(G14:G16)</f>
        <v>943</v>
      </c>
      <c r="H17" s="71" t="s">
        <v>356</v>
      </c>
      <c r="I17" s="260">
        <f>SUM(I14:I16)</f>
        <v>943</v>
      </c>
      <c r="N17" s="300" t="s">
        <v>627</v>
      </c>
      <c r="O17" s="304">
        <v>142652.76999999999</v>
      </c>
      <c r="P17" s="305">
        <f>+O17/1000</f>
        <v>142.65276999999998</v>
      </c>
      <c r="Q17" s="301">
        <v>0</v>
      </c>
      <c r="R17" s="308">
        <f>+P17-Q17</f>
        <v>142.65276999999998</v>
      </c>
      <c r="S17" s="300" t="s">
        <v>665</v>
      </c>
    </row>
    <row r="18" spans="2:19" ht="9" customHeight="1">
      <c r="E18" s="47"/>
      <c r="F18" s="47"/>
      <c r="G18" s="47"/>
      <c r="H18" s="71"/>
      <c r="I18" s="47"/>
      <c r="O18" s="304"/>
      <c r="Q18" s="301"/>
      <c r="R18" s="308"/>
    </row>
    <row r="19" spans="2:19" ht="13.5" customHeight="1">
      <c r="E19" s="79"/>
      <c r="F19" s="266"/>
      <c r="G19" s="70">
        <f>+Datos!C8</f>
        <v>2024</v>
      </c>
      <c r="H19" s="70"/>
      <c r="I19" s="70">
        <f>+Datos!C9</f>
        <v>2023</v>
      </c>
      <c r="N19" s="300" t="s">
        <v>667</v>
      </c>
      <c r="O19" s="302" t="s">
        <v>635</v>
      </c>
      <c r="P19" s="303" t="s">
        <v>666</v>
      </c>
      <c r="Q19" s="303" t="s">
        <v>636</v>
      </c>
      <c r="R19" s="303" t="s">
        <v>663</v>
      </c>
    </row>
    <row r="20" spans="2:19" ht="10.5" customHeight="1">
      <c r="B20" s="39"/>
      <c r="C20" s="62"/>
      <c r="E20" s="77" t="s">
        <v>327</v>
      </c>
      <c r="F20" s="79"/>
      <c r="G20" s="79"/>
      <c r="H20" s="79"/>
      <c r="I20" s="79"/>
      <c r="N20" s="300" t="s">
        <v>637</v>
      </c>
      <c r="O20" s="304">
        <v>-1205516.6599999999</v>
      </c>
      <c r="P20" s="305">
        <f t="shared" ref="P20:P25" si="3">+O20/1000</f>
        <v>-1205.51666</v>
      </c>
      <c r="Q20" s="301">
        <v>0</v>
      </c>
      <c r="R20" s="308">
        <f t="shared" ref="R20:R26" si="4">+P20-Q20</f>
        <v>-1205.51666</v>
      </c>
      <c r="S20" s="300" t="s">
        <v>665</v>
      </c>
    </row>
    <row r="21" spans="2:19" ht="6" customHeight="1">
      <c r="B21" s="39"/>
      <c r="C21" s="58"/>
      <c r="E21" s="77"/>
      <c r="F21" s="79"/>
      <c r="G21" s="79"/>
      <c r="H21" s="79"/>
      <c r="I21" s="79"/>
      <c r="N21" s="300" t="s">
        <v>637</v>
      </c>
      <c r="O21" s="304">
        <v>0</v>
      </c>
      <c r="P21" s="305">
        <f t="shared" si="3"/>
        <v>0</v>
      </c>
      <c r="Q21" s="301">
        <v>0</v>
      </c>
      <c r="R21" s="308">
        <f t="shared" si="4"/>
        <v>0</v>
      </c>
      <c r="S21" s="300" t="s">
        <v>665</v>
      </c>
    </row>
    <row r="22" spans="2:19" ht="12" customHeight="1">
      <c r="B22" s="58"/>
      <c r="C22" s="58"/>
      <c r="E22" s="150" t="s">
        <v>697</v>
      </c>
      <c r="F22" s="71" t="s">
        <v>356</v>
      </c>
      <c r="G22" s="260">
        <f>+-ROUND(O45/1000,0)</f>
        <v>1206</v>
      </c>
      <c r="H22" s="71" t="s">
        <v>356</v>
      </c>
      <c r="I22" s="260">
        <v>0</v>
      </c>
      <c r="N22" s="300" t="s">
        <v>652</v>
      </c>
      <c r="O22" s="304">
        <v>0</v>
      </c>
      <c r="P22" s="305">
        <f t="shared" si="3"/>
        <v>0</v>
      </c>
      <c r="Q22" s="301">
        <v>0</v>
      </c>
      <c r="R22" s="308">
        <f t="shared" si="4"/>
        <v>0</v>
      </c>
      <c r="S22" s="300" t="s">
        <v>684</v>
      </c>
    </row>
    <row r="23" spans="2:19" ht="12" customHeight="1">
      <c r="B23" s="58"/>
      <c r="C23" s="62"/>
      <c r="E23" s="150" t="s">
        <v>696</v>
      </c>
      <c r="F23" s="47"/>
      <c r="G23" s="260">
        <f>-ROUND(O85/1000,0)</f>
        <v>977</v>
      </c>
      <c r="H23" s="309"/>
      <c r="I23" s="260">
        <f>-+ROUND(Q85/1000,0)</f>
        <v>3872</v>
      </c>
      <c r="N23" s="300" t="s">
        <v>653</v>
      </c>
      <c r="O23" s="304">
        <v>0</v>
      </c>
      <c r="P23" s="305">
        <f t="shared" si="3"/>
        <v>0</v>
      </c>
      <c r="Q23" s="301">
        <v>0</v>
      </c>
      <c r="R23" s="308">
        <f t="shared" si="4"/>
        <v>0</v>
      </c>
      <c r="S23" s="300" t="s">
        <v>684</v>
      </c>
    </row>
    <row r="24" spans="2:19" ht="12" customHeight="1">
      <c r="B24" s="39"/>
      <c r="C24" s="57"/>
      <c r="E24" s="150" t="s">
        <v>698</v>
      </c>
      <c r="F24" s="47"/>
      <c r="G24" s="260">
        <v>0</v>
      </c>
      <c r="H24" s="309"/>
      <c r="I24" s="260">
        <f>-ROUND(Q84/1000,0)</f>
        <v>1384</v>
      </c>
      <c r="N24" s="300" t="s">
        <v>654</v>
      </c>
      <c r="O24" s="304">
        <v>-977152.38</v>
      </c>
      <c r="P24" s="305">
        <f t="shared" si="3"/>
        <v>-977.15237999999999</v>
      </c>
      <c r="Q24" s="301">
        <v>0</v>
      </c>
      <c r="R24" s="308">
        <f t="shared" si="4"/>
        <v>-977.15237999999999</v>
      </c>
      <c r="S24" s="300" t="s">
        <v>665</v>
      </c>
    </row>
    <row r="25" spans="2:19" ht="12" customHeight="1">
      <c r="B25" s="58"/>
      <c r="C25" s="57"/>
      <c r="E25" s="150" t="s">
        <v>699</v>
      </c>
      <c r="F25" s="47"/>
      <c r="G25" s="259">
        <v>0</v>
      </c>
      <c r="H25" s="309"/>
      <c r="I25" s="259">
        <f>-ROUND(Q83/1000,0)</f>
        <v>468</v>
      </c>
      <c r="N25" s="300" t="s">
        <v>655</v>
      </c>
      <c r="O25" s="304">
        <v>0</v>
      </c>
      <c r="P25" s="305">
        <f t="shared" si="3"/>
        <v>0</v>
      </c>
      <c r="Q25" s="301">
        <v>0</v>
      </c>
      <c r="R25" s="308">
        <f t="shared" si="4"/>
        <v>0</v>
      </c>
      <c r="S25" s="300" t="s">
        <v>684</v>
      </c>
    </row>
    <row r="26" spans="2:19" ht="12" customHeight="1">
      <c r="B26" s="39"/>
      <c r="C26" s="58"/>
      <c r="E26" s="150" t="s">
        <v>314</v>
      </c>
      <c r="F26" s="71" t="s">
        <v>356</v>
      </c>
      <c r="G26" s="260">
        <f>SUM(G22:G25)</f>
        <v>2183</v>
      </c>
      <c r="H26" s="71" t="s">
        <v>356</v>
      </c>
      <c r="I26" s="260">
        <f>SUM(I22:I25)</f>
        <v>5724</v>
      </c>
      <c r="O26" s="300"/>
      <c r="P26" s="300"/>
      <c r="Q26" s="301"/>
      <c r="R26" s="308">
        <f t="shared" si="4"/>
        <v>0</v>
      </c>
    </row>
    <row r="27" spans="2:19" ht="9" customHeight="1">
      <c r="B27" s="58"/>
      <c r="C27" s="62"/>
    </row>
    <row r="28" spans="2:19" ht="10.5" customHeight="1">
      <c r="B28" s="39"/>
      <c r="C28" s="58"/>
      <c r="E28" s="77"/>
      <c r="F28" s="70"/>
      <c r="G28" s="70">
        <f>+Datos!C8</f>
        <v>2024</v>
      </c>
      <c r="H28" s="70"/>
      <c r="I28" s="70">
        <f>+Datos!C9</f>
        <v>2023</v>
      </c>
      <c r="N28" s="300" t="s">
        <v>634</v>
      </c>
      <c r="O28" s="301" t="s">
        <v>635</v>
      </c>
      <c r="P28" s="301" t="s">
        <v>666</v>
      </c>
      <c r="Q28" s="301" t="s">
        <v>683</v>
      </c>
    </row>
    <row r="29" spans="2:19" ht="12" customHeight="1">
      <c r="B29" s="64"/>
      <c r="C29" s="61"/>
      <c r="E29" s="77" t="s">
        <v>327</v>
      </c>
      <c r="F29" s="79"/>
      <c r="N29" s="306" t="s">
        <v>621</v>
      </c>
      <c r="O29" s="305">
        <v>714904.52</v>
      </c>
      <c r="P29" s="305">
        <f>+O29/1000</f>
        <v>714.90452000000005</v>
      </c>
      <c r="Q29" s="301">
        <v>714904.52</v>
      </c>
    </row>
    <row r="30" spans="2:19" ht="7.5" customHeight="1">
      <c r="B30" s="65"/>
      <c r="C30" s="58"/>
      <c r="E30" s="71"/>
      <c r="F30" s="71"/>
      <c r="G30" s="71"/>
      <c r="H30" s="71"/>
      <c r="I30" s="71"/>
      <c r="N30" s="306" t="s">
        <v>622</v>
      </c>
      <c r="O30" s="305">
        <v>85231.32</v>
      </c>
      <c r="P30" s="305">
        <f t="shared" ref="P30:P41" si="5">+O30/1000</f>
        <v>85.231320000000011</v>
      </c>
      <c r="Q30" s="301">
        <v>85231.32</v>
      </c>
      <c r="R30" s="307"/>
    </row>
    <row r="31" spans="2:19" ht="12" customHeight="1">
      <c r="B31" s="38"/>
      <c r="C31" s="63"/>
      <c r="E31" s="150" t="s">
        <v>328</v>
      </c>
      <c r="F31" s="71"/>
      <c r="G31" s="71"/>
      <c r="H31" s="71"/>
      <c r="I31" s="71"/>
      <c r="N31" s="306" t="s">
        <v>627</v>
      </c>
      <c r="O31" s="305">
        <v>142652.76999999999</v>
      </c>
      <c r="P31" s="305">
        <f>+O31/1000</f>
        <v>142.65276999999998</v>
      </c>
      <c r="Q31" s="301">
        <v>142652.76999999999</v>
      </c>
    </row>
    <row r="32" spans="2:19" ht="12" customHeight="1">
      <c r="B32" s="66"/>
      <c r="C32" s="43"/>
      <c r="E32" s="150" t="s">
        <v>285</v>
      </c>
      <c r="F32" s="71" t="s">
        <v>356</v>
      </c>
      <c r="G32" s="259">
        <f>+'N9 Otras Aportaciones Fid'!H18</f>
        <v>125867</v>
      </c>
      <c r="H32" s="71" t="s">
        <v>356</v>
      </c>
      <c r="I32" s="259">
        <v>196719</v>
      </c>
      <c r="N32" s="300" t="s">
        <v>623</v>
      </c>
      <c r="O32" s="301">
        <v>290000</v>
      </c>
      <c r="P32" s="301">
        <f t="shared" si="5"/>
        <v>290</v>
      </c>
      <c r="Q32" s="301"/>
    </row>
    <row r="33" spans="3:18" ht="12" customHeight="1">
      <c r="C33" s="65"/>
      <c r="E33" s="150" t="s">
        <v>314</v>
      </c>
      <c r="F33" s="71" t="s">
        <v>356</v>
      </c>
      <c r="G33" s="252">
        <f>SUM(G31:G32)</f>
        <v>125867</v>
      </c>
      <c r="H33" s="71" t="s">
        <v>356</v>
      </c>
      <c r="I33" s="252">
        <v>196719</v>
      </c>
      <c r="N33" s="300" t="s">
        <v>624</v>
      </c>
      <c r="O33" s="301">
        <v>2958071.53</v>
      </c>
      <c r="P33" s="301">
        <f t="shared" si="5"/>
        <v>2958.0715299999997</v>
      </c>
      <c r="Q33" s="301">
        <v>1427878.23</v>
      </c>
    </row>
    <row r="34" spans="3:18" ht="12" customHeight="1">
      <c r="G34" s="180"/>
      <c r="H34" s="180"/>
      <c r="I34" s="180"/>
      <c r="N34" s="300" t="s">
        <v>625</v>
      </c>
      <c r="O34" s="301">
        <v>171461.97</v>
      </c>
      <c r="P34" s="301">
        <f t="shared" si="5"/>
        <v>171.46197000000001</v>
      </c>
      <c r="Q34" s="301">
        <v>179792.63</v>
      </c>
    </row>
    <row r="35" spans="3:18" ht="12" customHeight="1">
      <c r="G35" s="209">
        <f>+G33-BG!E37</f>
        <v>0</v>
      </c>
      <c r="H35" s="209"/>
      <c r="I35" s="209">
        <f>+I33-BG!G37</f>
        <v>0</v>
      </c>
      <c r="J35" s="230" t="s">
        <v>555</v>
      </c>
      <c r="N35" s="300" t="s">
        <v>626</v>
      </c>
      <c r="O35" s="301">
        <v>5252394.16</v>
      </c>
      <c r="P35" s="301">
        <f t="shared" si="5"/>
        <v>5252.3941599999998</v>
      </c>
      <c r="Q35" s="301"/>
    </row>
    <row r="36" spans="3:18" ht="12" customHeight="1">
      <c r="N36" s="300" t="s">
        <v>628</v>
      </c>
      <c r="O36" s="301">
        <v>44551</v>
      </c>
      <c r="P36" s="301">
        <f t="shared" si="5"/>
        <v>44.551000000000002</v>
      </c>
      <c r="Q36" s="301"/>
    </row>
    <row r="37" spans="3:18" ht="12" customHeight="1">
      <c r="N37" s="300" t="s">
        <v>629</v>
      </c>
      <c r="O37" s="301">
        <v>3939</v>
      </c>
      <c r="P37" s="301">
        <f t="shared" si="5"/>
        <v>3.9390000000000001</v>
      </c>
      <c r="Q37" s="301">
        <v>3939</v>
      </c>
    </row>
    <row r="38" spans="3:18" ht="12" customHeight="1">
      <c r="N38" s="300" t="s">
        <v>630</v>
      </c>
      <c r="O38" s="301">
        <v>934029.01</v>
      </c>
      <c r="P38" s="301">
        <f t="shared" si="5"/>
        <v>934.02900999999997</v>
      </c>
      <c r="Q38" s="301">
        <v>1405829.01</v>
      </c>
    </row>
    <row r="39" spans="3:18" ht="12" customHeight="1">
      <c r="N39" s="300" t="s">
        <v>631</v>
      </c>
      <c r="O39" s="301">
        <v>85028</v>
      </c>
      <c r="P39" s="301">
        <f t="shared" si="5"/>
        <v>85.028000000000006</v>
      </c>
      <c r="Q39" s="301">
        <v>85028</v>
      </c>
    </row>
    <row r="40" spans="3:18" ht="12" customHeight="1">
      <c r="N40" s="300" t="s">
        <v>632</v>
      </c>
      <c r="O40" s="301">
        <v>7713344</v>
      </c>
      <c r="P40" s="301">
        <f t="shared" si="5"/>
        <v>7713.3440000000001</v>
      </c>
      <c r="Q40" s="301">
        <v>5903620</v>
      </c>
    </row>
    <row r="41" spans="3:18" ht="12" customHeight="1">
      <c r="N41" s="300" t="s">
        <v>633</v>
      </c>
      <c r="O41" s="301">
        <v>435417.43</v>
      </c>
      <c r="P41" s="301">
        <f t="shared" si="5"/>
        <v>435.41742999999997</v>
      </c>
      <c r="Q41" s="301">
        <v>2467.65</v>
      </c>
    </row>
    <row r="42" spans="3:18" ht="12" customHeight="1">
      <c r="N42" s="307" t="s">
        <v>620</v>
      </c>
      <c r="Q42" s="301"/>
    </row>
    <row r="43" spans="3:18" ht="12" customHeight="1">
      <c r="Q43" s="301"/>
    </row>
    <row r="44" spans="3:18" ht="12" customHeight="1">
      <c r="O44" s="301" t="s">
        <v>635</v>
      </c>
      <c r="P44" s="301" t="s">
        <v>662</v>
      </c>
      <c r="Q44" s="301" t="s">
        <v>683</v>
      </c>
      <c r="R44" s="300" t="s">
        <v>136</v>
      </c>
    </row>
    <row r="45" spans="3:18" ht="12" customHeight="1">
      <c r="N45" s="306" t="s">
        <v>637</v>
      </c>
      <c r="O45" s="305">
        <v>-1205516.6599999999</v>
      </c>
      <c r="P45" s="305">
        <f t="shared" ref="P45:P62" si="6">+O45/1000</f>
        <v>-1205.51666</v>
      </c>
      <c r="Q45" s="301"/>
      <c r="R45" s="300" t="s">
        <v>615</v>
      </c>
    </row>
    <row r="46" spans="3:18" ht="12" customHeight="1">
      <c r="N46" s="300" t="s">
        <v>638</v>
      </c>
      <c r="O46" s="301">
        <v>-6960</v>
      </c>
      <c r="P46" s="301">
        <f t="shared" si="6"/>
        <v>-6.96</v>
      </c>
      <c r="Q46" s="180">
        <v>-6960</v>
      </c>
      <c r="R46" s="300" t="s">
        <v>615</v>
      </c>
    </row>
    <row r="47" spans="3:18" ht="12" customHeight="1">
      <c r="N47" s="300" t="s">
        <v>639</v>
      </c>
      <c r="O47" s="301">
        <v>-7571.32</v>
      </c>
      <c r="P47" s="301">
        <f t="shared" si="6"/>
        <v>-7.5713200000000001</v>
      </c>
      <c r="Q47" s="180">
        <v>-9941.2000000000007</v>
      </c>
      <c r="R47" s="300" t="s">
        <v>615</v>
      </c>
    </row>
    <row r="48" spans="3:18" ht="12" customHeight="1">
      <c r="N48" s="300" t="s">
        <v>640</v>
      </c>
      <c r="O48" s="301">
        <v>-153358.24</v>
      </c>
      <c r="P48" s="301">
        <f t="shared" si="6"/>
        <v>-153.35824</v>
      </c>
      <c r="Q48" s="180">
        <v>-290164.8</v>
      </c>
      <c r="R48" s="300" t="s">
        <v>614</v>
      </c>
    </row>
    <row r="49" spans="14:18" ht="12" customHeight="1">
      <c r="N49" s="300" t="s">
        <v>625</v>
      </c>
      <c r="O49" s="301">
        <v>-43851.37</v>
      </c>
      <c r="P49" s="301">
        <f t="shared" si="6"/>
        <v>-43.851370000000003</v>
      </c>
      <c r="Q49" s="180">
        <v>-8330.66</v>
      </c>
      <c r="R49" s="300" t="s">
        <v>614</v>
      </c>
    </row>
    <row r="50" spans="14:18" ht="12" customHeight="1">
      <c r="N50" s="300" t="s">
        <v>626</v>
      </c>
      <c r="O50" s="301">
        <v>-2886509.2</v>
      </c>
      <c r="P50" s="301">
        <f t="shared" si="6"/>
        <v>-2886.5092</v>
      </c>
      <c r="Q50" s="301"/>
      <c r="R50" s="300" t="s">
        <v>659</v>
      </c>
    </row>
    <row r="51" spans="14:18" ht="12" customHeight="1">
      <c r="N51" s="300" t="s">
        <v>641</v>
      </c>
      <c r="O51" s="301">
        <v>-171</v>
      </c>
      <c r="P51" s="301">
        <f t="shared" si="6"/>
        <v>-0.17100000000000001</v>
      </c>
      <c r="Q51" s="301"/>
      <c r="R51" s="300" t="s">
        <v>614</v>
      </c>
    </row>
    <row r="52" spans="14:18" ht="12" customHeight="1">
      <c r="N52" s="300" t="s">
        <v>630</v>
      </c>
      <c r="O52" s="301">
        <v>-1579983</v>
      </c>
      <c r="P52" s="301">
        <f t="shared" si="6"/>
        <v>-1579.9829999999999</v>
      </c>
      <c r="Q52" s="180">
        <v>-2077337.8</v>
      </c>
      <c r="R52" s="300" t="s">
        <v>614</v>
      </c>
    </row>
    <row r="53" spans="14:18" ht="12" customHeight="1">
      <c r="N53" s="300" t="s">
        <v>642</v>
      </c>
      <c r="O53" s="301">
        <v>-850400</v>
      </c>
      <c r="P53" s="301">
        <f t="shared" si="6"/>
        <v>-850.4</v>
      </c>
      <c r="Q53" s="301"/>
      <c r="R53" s="300" t="s">
        <v>612</v>
      </c>
    </row>
    <row r="54" spans="14:18" ht="12" customHeight="1">
      <c r="N54" s="300" t="s">
        <v>643</v>
      </c>
      <c r="O54" s="301">
        <v>-353089.72</v>
      </c>
      <c r="P54" s="301">
        <f t="shared" si="6"/>
        <v>-353.08972</v>
      </c>
      <c r="Q54" s="301"/>
      <c r="R54" s="300" t="s">
        <v>660</v>
      </c>
    </row>
    <row r="55" spans="14:18" ht="12" customHeight="1">
      <c r="N55" s="300" t="s">
        <v>644</v>
      </c>
      <c r="O55" s="301">
        <v>-935365.14</v>
      </c>
      <c r="P55" s="301">
        <f t="shared" si="6"/>
        <v>-935.36514</v>
      </c>
      <c r="Q55" s="301"/>
      <c r="R55" s="300" t="s">
        <v>612</v>
      </c>
    </row>
    <row r="56" spans="14:18" ht="12" customHeight="1">
      <c r="N56" s="300" t="s">
        <v>645</v>
      </c>
      <c r="O56" s="301">
        <v>-12467641.01</v>
      </c>
      <c r="P56" s="301">
        <f t="shared" si="6"/>
        <v>-12467.641009999999</v>
      </c>
      <c r="Q56" s="301"/>
      <c r="R56" s="300" t="s">
        <v>612</v>
      </c>
    </row>
    <row r="57" spans="14:18" ht="12" customHeight="1">
      <c r="N57" s="300" t="s">
        <v>646</v>
      </c>
      <c r="O57" s="301">
        <v>-2139981.65</v>
      </c>
      <c r="P57" s="301">
        <f t="shared" si="6"/>
        <v>-2139.9816499999997</v>
      </c>
      <c r="Q57" s="301"/>
      <c r="R57" s="300" t="s">
        <v>612</v>
      </c>
    </row>
    <row r="58" spans="14:18" ht="12" customHeight="1">
      <c r="N58" s="300" t="s">
        <v>647</v>
      </c>
      <c r="O58" s="301">
        <v>-12909331.800000001</v>
      </c>
      <c r="P58" s="301">
        <f t="shared" si="6"/>
        <v>-12909.3318</v>
      </c>
      <c r="Q58" s="301"/>
      <c r="R58" s="300" t="s">
        <v>612</v>
      </c>
    </row>
    <row r="59" spans="14:18" ht="12" customHeight="1">
      <c r="N59" s="300" t="s">
        <v>648</v>
      </c>
      <c r="O59" s="301">
        <v>-206909.2</v>
      </c>
      <c r="P59" s="301">
        <f t="shared" si="6"/>
        <v>-206.9092</v>
      </c>
      <c r="Q59" s="301"/>
      <c r="R59" s="300" t="s">
        <v>612</v>
      </c>
    </row>
    <row r="60" spans="14:18" ht="12" customHeight="1">
      <c r="N60" s="300" t="s">
        <v>649</v>
      </c>
      <c r="O60" s="301">
        <v>-87000</v>
      </c>
      <c r="P60" s="301">
        <f t="shared" si="6"/>
        <v>-87</v>
      </c>
      <c r="Q60" s="301"/>
      <c r="R60" s="300" t="s">
        <v>660</v>
      </c>
    </row>
    <row r="61" spans="14:18" ht="12" customHeight="1">
      <c r="N61" s="300" t="s">
        <v>650</v>
      </c>
      <c r="O61" s="301">
        <v>-8700</v>
      </c>
      <c r="P61" s="301">
        <f t="shared" si="6"/>
        <v>-8.6999999999999993</v>
      </c>
      <c r="Q61" s="301"/>
      <c r="R61" s="300" t="s">
        <v>614</v>
      </c>
    </row>
    <row r="62" spans="14:18" ht="12" customHeight="1">
      <c r="N62" s="300" t="s">
        <v>651</v>
      </c>
      <c r="O62" s="301">
        <v>-136300</v>
      </c>
      <c r="P62" s="301">
        <f t="shared" si="6"/>
        <v>-136.30000000000001</v>
      </c>
      <c r="Q62" s="301"/>
      <c r="R62" s="300" t="s">
        <v>612</v>
      </c>
    </row>
    <row r="63" spans="14:18" ht="12" customHeight="1">
      <c r="N63" s="300" t="s">
        <v>620</v>
      </c>
      <c r="Q63" s="180">
        <v>-2467.65</v>
      </c>
      <c r="R63" s="300" t="s">
        <v>614</v>
      </c>
    </row>
    <row r="64" spans="14:18" ht="12" customHeight="1">
      <c r="N64" s="300" t="s">
        <v>669</v>
      </c>
      <c r="Q64" s="180">
        <v>-8068</v>
      </c>
      <c r="R64" s="300" t="s">
        <v>614</v>
      </c>
    </row>
    <row r="65" spans="14:18" ht="12" customHeight="1">
      <c r="N65" s="300" t="s">
        <v>670</v>
      </c>
      <c r="Q65" s="180">
        <v>-1722106.7</v>
      </c>
      <c r="R65" s="300" t="s">
        <v>612</v>
      </c>
    </row>
    <row r="66" spans="14:18" ht="12" customHeight="1">
      <c r="N66" s="300" t="s">
        <v>671</v>
      </c>
      <c r="Q66" s="180">
        <v>-1160</v>
      </c>
      <c r="R66" s="300" t="s">
        <v>614</v>
      </c>
    </row>
    <row r="67" spans="14:18" ht="12" customHeight="1">
      <c r="N67" s="300" t="s">
        <v>672</v>
      </c>
      <c r="Q67" s="180">
        <v>-416333.2</v>
      </c>
      <c r="R67" s="300" t="s">
        <v>614</v>
      </c>
    </row>
    <row r="68" spans="14:18" ht="12" customHeight="1">
      <c r="N68" s="300" t="s">
        <v>673</v>
      </c>
      <c r="Q68" s="180">
        <v>-59344.83</v>
      </c>
      <c r="R68" s="300" t="s">
        <v>612</v>
      </c>
    </row>
    <row r="69" spans="14:18" ht="12" customHeight="1">
      <c r="N69" s="300" t="s">
        <v>674</v>
      </c>
      <c r="Q69" s="180">
        <v>-870000</v>
      </c>
      <c r="R69" s="300" t="s">
        <v>660</v>
      </c>
    </row>
    <row r="70" spans="14:18" ht="12" customHeight="1">
      <c r="N70" s="300" t="s">
        <v>675</v>
      </c>
      <c r="Q70" s="180">
        <v>-15080</v>
      </c>
      <c r="R70" s="300" t="s">
        <v>612</v>
      </c>
    </row>
    <row r="71" spans="14:18" ht="12" customHeight="1">
      <c r="N71" s="300" t="s">
        <v>676</v>
      </c>
      <c r="Q71" s="180">
        <v>-101110.7</v>
      </c>
      <c r="R71" s="300" t="s">
        <v>612</v>
      </c>
    </row>
    <row r="72" spans="14:18" ht="12" customHeight="1">
      <c r="N72" s="300" t="s">
        <v>677</v>
      </c>
      <c r="Q72" s="180">
        <v>-52200</v>
      </c>
      <c r="R72" s="300" t="s">
        <v>612</v>
      </c>
    </row>
    <row r="73" spans="14:18" ht="12" customHeight="1">
      <c r="N73" s="300" t="s">
        <v>678</v>
      </c>
      <c r="Q73" s="180">
        <v>-1421000</v>
      </c>
      <c r="R73" s="300" t="s">
        <v>614</v>
      </c>
    </row>
    <row r="74" spans="14:18" ht="12" customHeight="1">
      <c r="N74" s="300" t="s">
        <v>679</v>
      </c>
      <c r="Q74" s="180">
        <v>-153236</v>
      </c>
      <c r="R74" s="300" t="s">
        <v>612</v>
      </c>
    </row>
    <row r="75" spans="14:18" ht="12" customHeight="1">
      <c r="N75" s="300" t="s">
        <v>680</v>
      </c>
      <c r="Q75" s="180">
        <v>-4638.84</v>
      </c>
      <c r="R75" s="300" t="s">
        <v>660</v>
      </c>
    </row>
    <row r="76" spans="14:18" ht="12" customHeight="1">
      <c r="N76" s="300" t="s">
        <v>681</v>
      </c>
      <c r="Q76" s="180">
        <v>-50234.38</v>
      </c>
      <c r="R76" s="300" t="s">
        <v>660</v>
      </c>
    </row>
    <row r="77" spans="14:18" ht="12" customHeight="1">
      <c r="N77" s="300" t="s">
        <v>682</v>
      </c>
      <c r="Q77" s="180">
        <v>-91640</v>
      </c>
      <c r="R77" s="300" t="s">
        <v>660</v>
      </c>
    </row>
    <row r="78" spans="14:18" ht="12" customHeight="1">
      <c r="Q78" s="180"/>
    </row>
    <row r="79" spans="14:18" ht="12" customHeight="1">
      <c r="Q79" s="180"/>
    </row>
    <row r="80" spans="14:18" ht="12" customHeight="1">
      <c r="Q80" s="301"/>
    </row>
    <row r="81" spans="14:17" ht="12" customHeight="1">
      <c r="N81" s="300" t="s">
        <v>661</v>
      </c>
      <c r="O81" s="301" t="s">
        <v>635</v>
      </c>
      <c r="P81" s="301" t="s">
        <v>662</v>
      </c>
      <c r="Q81" s="301" t="s">
        <v>683</v>
      </c>
    </row>
    <row r="82" spans="14:17" ht="12" customHeight="1">
      <c r="N82" s="306" t="s">
        <v>637</v>
      </c>
      <c r="O82" s="305">
        <v>0</v>
      </c>
      <c r="P82" s="305">
        <f t="shared" ref="P82:P89" si="7">+O82/1000</f>
        <v>0</v>
      </c>
      <c r="Q82" s="301"/>
    </row>
    <row r="83" spans="14:17" ht="12" customHeight="1">
      <c r="N83" s="306" t="s">
        <v>652</v>
      </c>
      <c r="O83" s="305">
        <v>0</v>
      </c>
      <c r="P83" s="305">
        <f t="shared" si="7"/>
        <v>0</v>
      </c>
      <c r="Q83" s="301">
        <v>-467943</v>
      </c>
    </row>
    <row r="84" spans="14:17" ht="12" customHeight="1">
      <c r="N84" s="306" t="s">
        <v>653</v>
      </c>
      <c r="O84" s="305">
        <v>0</v>
      </c>
      <c r="P84" s="305">
        <f t="shared" si="7"/>
        <v>0</v>
      </c>
      <c r="Q84" s="301">
        <v>-1384076</v>
      </c>
    </row>
    <row r="85" spans="14:17" ht="12" customHeight="1">
      <c r="N85" s="306" t="s">
        <v>654</v>
      </c>
      <c r="O85" s="305">
        <v>-977152.38</v>
      </c>
      <c r="P85" s="305">
        <f t="shared" si="7"/>
        <v>-977.15237999999999</v>
      </c>
      <c r="Q85" s="301">
        <v>-3871514</v>
      </c>
    </row>
    <row r="86" spans="14:17" ht="12" customHeight="1">
      <c r="N86" s="306" t="s">
        <v>655</v>
      </c>
      <c r="O86" s="305">
        <v>0</v>
      </c>
      <c r="P86" s="305">
        <f t="shared" si="7"/>
        <v>0</v>
      </c>
      <c r="Q86" s="301"/>
    </row>
    <row r="87" spans="14:17" ht="12" customHeight="1">
      <c r="N87" s="300" t="s">
        <v>656</v>
      </c>
      <c r="O87" s="301">
        <v>0</v>
      </c>
      <c r="P87" s="301">
        <f t="shared" si="7"/>
        <v>0</v>
      </c>
    </row>
    <row r="88" spans="14:17" ht="12" customHeight="1">
      <c r="N88" s="300" t="s">
        <v>657</v>
      </c>
      <c r="O88" s="301">
        <v>-500000</v>
      </c>
      <c r="P88" s="301">
        <f t="shared" si="7"/>
        <v>-500</v>
      </c>
    </row>
    <row r="89" spans="14:17" ht="12" customHeight="1">
      <c r="N89" s="300" t="s">
        <v>658</v>
      </c>
      <c r="O89" s="301">
        <v>-505000</v>
      </c>
      <c r="P89" s="301">
        <f t="shared" si="7"/>
        <v>-505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F6C3-06E3-445B-8289-A8974A5FCB79}">
  <dimension ref="B4:E22"/>
  <sheetViews>
    <sheetView showGridLines="0" topLeftCell="D10" zoomScale="130" zoomScaleNormal="130" workbookViewId="0">
      <selection activeCell="E18" sqref="E18"/>
    </sheetView>
  </sheetViews>
  <sheetFormatPr baseColWidth="10" defaultRowHeight="13.5"/>
  <cols>
    <col min="1" max="1" width="4.7109375" customWidth="1"/>
    <col min="2" max="2" width="86.7109375" customWidth="1"/>
    <col min="5" max="5" width="51.85546875" customWidth="1"/>
  </cols>
  <sheetData>
    <row r="4" spans="2:5" ht="15">
      <c r="B4" s="68" t="s">
        <v>757</v>
      </c>
    </row>
    <row r="5" spans="2:5" ht="9.6" customHeight="1">
      <c r="B5" s="68"/>
    </row>
    <row r="6" spans="2:5" ht="54" customHeight="1">
      <c r="B6" s="69" t="s">
        <v>760</v>
      </c>
      <c r="E6" s="149" t="s">
        <v>436</v>
      </c>
    </row>
    <row r="7" spans="2:5" ht="8.25" customHeight="1">
      <c r="B7" s="69"/>
    </row>
    <row r="8" spans="2:5" ht="97.5" customHeight="1">
      <c r="B8" s="69" t="s">
        <v>761</v>
      </c>
    </row>
    <row r="9" spans="2:5" ht="7.9" customHeight="1">
      <c r="B9" s="69"/>
    </row>
    <row r="10" spans="2:5" ht="128.25" customHeight="1">
      <c r="B10" s="69" t="s">
        <v>690</v>
      </c>
    </row>
    <row r="11" spans="2:5" ht="7.9" customHeight="1">
      <c r="B11" s="69"/>
    </row>
    <row r="12" spans="2:5" ht="27" customHeight="1">
      <c r="B12" s="69" t="s">
        <v>416</v>
      </c>
    </row>
    <row r="13" spans="2:5" ht="7.5" customHeight="1">
      <c r="B13" s="69"/>
    </row>
    <row r="14" spans="2:5" ht="9.6" customHeight="1">
      <c r="B14" s="36"/>
    </row>
    <row r="15" spans="2:5" ht="15">
      <c r="B15" s="68" t="s">
        <v>758</v>
      </c>
    </row>
    <row r="16" spans="2:5" ht="9" customHeight="1">
      <c r="B16" s="68"/>
    </row>
    <row r="17" spans="2:5" ht="30">
      <c r="B17" s="69" t="str">
        <f>+CONCATENATE(Datos!C19,E17)</f>
        <v>El Fideicomiso al 31 de diciembre de 2024, cuenta con compromisos propios de la operación y los que se mencionan en la Nota 9 de “Otras aportaciones del Fideicomitente ".</v>
      </c>
      <c r="E17" s="149" t="s">
        <v>762</v>
      </c>
    </row>
    <row r="18" spans="2:5" ht="7.9" customHeight="1">
      <c r="B18" s="148"/>
    </row>
    <row r="19" spans="2:5" ht="9.6" customHeight="1">
      <c r="B19" s="147"/>
    </row>
    <row r="20" spans="2:5" ht="15">
      <c r="B20" s="68" t="s">
        <v>759</v>
      </c>
    </row>
    <row r="21" spans="2:5" ht="10.9" customHeight="1">
      <c r="B21" s="68"/>
    </row>
    <row r="22" spans="2:5" ht="45" customHeight="1">
      <c r="B22" s="69" t="str">
        <f>+CONCATENATE("Los estados financieros y las notas a los mismos fueron autorizados para su emisión y publicación el ",Datos!C10,", por Ignacio García de Quevedo Gómez Gallardo - Director de Administración y Finanzas, y están sujetas a la aprobación del Comité Técnico y Administrador del Fideicomiso.")</f>
        <v>Los estados financieros y las notas a los mismos fueron autorizados para su emisión y publicación el 30 de abril de 2025, por Ignacio García de Quevedo Gómez Gallardo - Director de Administración y Finanzas, y están sujetas a la aprobación del Comité Técnico y Administrador del Fideicomiso.</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04606b2-7c72-4582-805d-2b76d8cf591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B676122FDA77489E7B74AD54EB3D83" ma:contentTypeVersion="17" ma:contentTypeDescription="Create a new document." ma:contentTypeScope="" ma:versionID="7547353d3e0cd2d45cdd5eff493daa40">
  <xsd:schema xmlns:xsd="http://www.w3.org/2001/XMLSchema" xmlns:xs="http://www.w3.org/2001/XMLSchema" xmlns:p="http://schemas.microsoft.com/office/2006/metadata/properties" xmlns:ns3="804606b2-7c72-4582-805d-2b76d8cf5910" xmlns:ns4="1bd5d341-41f7-40f1-8389-41cb99dbdbcf" targetNamespace="http://schemas.microsoft.com/office/2006/metadata/properties" ma:root="true" ma:fieldsID="06bbd720ebee37b19f81b369c5f3d6f6" ns3:_="" ns4:_="">
    <xsd:import namespace="804606b2-7c72-4582-805d-2b76d8cf5910"/>
    <xsd:import namespace="1bd5d341-41f7-40f1-8389-41cb99dbdbc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_activity" minOccurs="0"/>
                <xsd:element ref="ns3:MediaServiceObjectDetectorVersion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606b2-7c72-4582-805d-2b76d8cf59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d5d341-41f7-40f1-8389-41cb99dbdb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A629E1-1271-4F0F-831C-434E9A904A48}">
  <ds:schemaRefs>
    <ds:schemaRef ds:uri="http://purl.org/dc/elements/1.1/"/>
    <ds:schemaRef ds:uri="804606b2-7c72-4582-805d-2b76d8cf5910"/>
    <ds:schemaRef ds:uri="http://schemas.openxmlformats.org/package/2006/metadata/core-properties"/>
    <ds:schemaRef ds:uri="http://schemas.microsoft.com/office/2006/metadata/properties"/>
    <ds:schemaRef ds:uri="1bd5d341-41f7-40f1-8389-41cb99dbdbcf"/>
    <ds:schemaRef ds:uri="http://schemas.microsoft.com/office/2006/documentManagement/types"/>
    <ds:schemaRef ds:uri="http://purl.org/dc/dcmitype/"/>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C27C9873-E7FE-4945-9220-162B739E322C}">
  <ds:schemaRefs>
    <ds:schemaRef ds:uri="http://schemas.microsoft.com/sharepoint/v3/contenttype/forms"/>
  </ds:schemaRefs>
</ds:datastoreItem>
</file>

<file path=customXml/itemProps3.xml><?xml version="1.0" encoding="utf-8"?>
<ds:datastoreItem xmlns:ds="http://schemas.openxmlformats.org/officeDocument/2006/customXml" ds:itemID="{1AA06806-9724-4CE1-BABD-C20BBD469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4606b2-7c72-4582-805d-2b76d8cf5910"/>
    <ds:schemaRef ds:uri="1bd5d341-41f7-40f1-8389-41cb99dbdb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8</vt:i4>
      </vt:variant>
    </vt:vector>
  </HeadingPairs>
  <TitlesOfParts>
    <vt:vector size="36" baseType="lpstr">
      <vt:lpstr>Datos</vt:lpstr>
      <vt:lpstr>Catálogo</vt:lpstr>
      <vt:lpstr>BalanzaActual</vt:lpstr>
      <vt:lpstr>BalanzaAnterior</vt:lpstr>
      <vt:lpstr>Validación</vt:lpstr>
      <vt:lpstr>Portada</vt:lpstr>
      <vt:lpstr>Contenido</vt:lpstr>
      <vt:lpstr>Dictamen 1</vt:lpstr>
      <vt:lpstr>Dictamen 2</vt:lpstr>
      <vt:lpstr>BG</vt:lpstr>
      <vt:lpstr>ER</vt:lpstr>
      <vt:lpstr>ECC</vt:lpstr>
      <vt:lpstr>CF</vt:lpstr>
      <vt:lpstr>Nota 1 y 2</vt:lpstr>
      <vt:lpstr>Nota 1 tablas</vt:lpstr>
      <vt:lpstr>Nota 3</vt:lpstr>
      <vt:lpstr>N4 Efectivo</vt:lpstr>
      <vt:lpstr>Nota 5 Txt</vt:lpstr>
      <vt:lpstr>N5 Inventarios Inm(Tablas)</vt:lpstr>
      <vt:lpstr>N6 Proveedores</vt:lpstr>
      <vt:lpstr>N7 Depósitos en garantía</vt:lpstr>
      <vt:lpstr>N8 Préstamos</vt:lpstr>
      <vt:lpstr>N9 Otras Aportaciones Fid</vt:lpstr>
      <vt:lpstr>Nota 10 Impuestos</vt:lpstr>
      <vt:lpstr>N11 Patrimonio</vt:lpstr>
      <vt:lpstr>N12 Vencimientos</vt:lpstr>
      <vt:lpstr>N13 Partes relacionadas</vt:lpstr>
      <vt:lpstr>Nota de la 14 en adelante</vt:lpstr>
      <vt:lpstr>'Nota 3'!_Hlk161219787</vt:lpstr>
      <vt:lpstr>'Nota 3'!_Hlk161831706</vt:lpstr>
      <vt:lpstr>'Nota 5 Txt'!_Hlk161832494</vt:lpstr>
      <vt:lpstr>'Dictamen 1'!_Hlk161986056</vt:lpstr>
      <vt:lpstr>'Nota 3'!_Hlk161987517</vt:lpstr>
      <vt:lpstr>'Nota 3'!_Hlk161988619</vt:lpstr>
      <vt:lpstr>Validación!_TOC_250001</vt:lpstr>
      <vt:lpstr>Validación!OLE_LINK1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Arturo Barrios</dc:creator>
  <cp:lastModifiedBy>enlace 360</cp:lastModifiedBy>
  <cp:lastPrinted>2024-10-23T23:24:43Z</cp:lastPrinted>
  <dcterms:created xsi:type="dcterms:W3CDTF">2024-08-16T01:30:43Z</dcterms:created>
  <dcterms:modified xsi:type="dcterms:W3CDTF">2025-11-25T17:41:59Z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0x0101003DB676122FDA77489E7B74AD54EB3D83</vt:lpwstr>
  </property>
</Properties>
</file>